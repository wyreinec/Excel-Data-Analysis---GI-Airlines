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HANA SRI REJEKI\03. LEARNING BY DOING THROUGH COURSE\01. SOFTWARE ENGINEERING\17. DATA ANALYSIS\Airlines Study Case - Excel Intermediate\Excel-Data-Analysis---GI-Airlines\"/>
    </mc:Choice>
  </mc:AlternateContent>
  <xr:revisionPtr revIDLastSave="0" documentId="8_{3663C89D-5EB4-4379-87D4-586BBE67EB9C}" xr6:coauthVersionLast="47" xr6:coauthVersionMax="47" xr10:uidLastSave="{00000000-0000-0000-0000-000000000000}"/>
  <bookViews>
    <workbookView xWindow="-120" yWindow="-120" windowWidth="29040" windowHeight="15720" activeTab="1" xr2:uid="{D1C246EE-5A35-4198-A3C3-48519112F135}"/>
  </bookViews>
  <sheets>
    <sheet name="Financial Solution DA" sheetId="1" r:id="rId1"/>
    <sheet name="Linear Programming" sheetId="3" r:id="rId2"/>
    <sheet name="Feasibility Report 1" sheetId="4" r:id="rId3"/>
    <sheet name="Feasibility Report 2" sheetId="5" r:id="rId4"/>
  </sheets>
  <definedNames>
    <definedName name="solver_adj" localSheetId="1" hidden="1">'Linear Programming'!$M$23:$N$24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'Linear Programming'!$M$25</definedName>
    <definedName name="solver_lhs2" localSheetId="1" hidden="1">'Linear Programming'!$N$25</definedName>
    <definedName name="solver_lhs3" localSheetId="1" hidden="1">'Linear Programming'!$O$23</definedName>
    <definedName name="solver_lhs4" localSheetId="1" hidden="1">'Linear Programming'!$O$24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'Linear Programming'!$M$27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1</definedName>
    <definedName name="solver_rel4" localSheetId="1" hidden="1">1</definedName>
    <definedName name="solver_rhs1" localSheetId="1" hidden="1">'Linear Programming'!$M$26</definedName>
    <definedName name="solver_rhs2" localSheetId="1" hidden="1">'Linear Programming'!$N$26</definedName>
    <definedName name="solver_rhs3" localSheetId="1" hidden="1">'Linear Programming'!$P$23</definedName>
    <definedName name="solver_rhs4" localSheetId="1" hidden="1">'Linear Programming'!$P$24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3" l="1"/>
  <c r="N25" i="3"/>
  <c r="M25" i="3"/>
  <c r="O24" i="3"/>
  <c r="O23" i="3"/>
  <c r="S10" i="3"/>
  <c r="S11" i="3" s="1"/>
  <c r="R10" i="3"/>
  <c r="R11" i="3" s="1"/>
  <c r="N10" i="3"/>
  <c r="N11" i="3" s="1"/>
  <c r="M10" i="3"/>
  <c r="M11" i="3" s="1"/>
  <c r="S8" i="3"/>
  <c r="R8" i="3"/>
  <c r="N8" i="3"/>
  <c r="M8" i="3"/>
  <c r="S78" i="1"/>
  <c r="S79" i="1"/>
  <c r="S80" i="1"/>
  <c r="S81" i="1"/>
  <c r="S82" i="1"/>
  <c r="S83" i="1"/>
  <c r="S77" i="1"/>
  <c r="S76" i="1"/>
  <c r="Y69" i="1"/>
  <c r="Y68" i="1"/>
  <c r="Y70" i="1" s="1"/>
  <c r="S75" i="1" s="1"/>
  <c r="T63" i="1"/>
  <c r="X62" i="1" s="1"/>
  <c r="T55" i="1"/>
  <c r="T56" i="1" s="1"/>
  <c r="T57" i="1" s="1"/>
  <c r="U43" i="1"/>
  <c r="U42" i="1"/>
  <c r="U41" i="1"/>
  <c r="U40" i="1"/>
  <c r="U39" i="1"/>
  <c r="U37" i="1"/>
  <c r="U45" i="1" s="1"/>
  <c r="T42" i="1"/>
  <c r="T41" i="1"/>
  <c r="T40" i="1"/>
  <c r="T39" i="1"/>
  <c r="T43" i="1" s="1"/>
  <c r="T36" i="1"/>
  <c r="T28" i="1"/>
  <c r="T21" i="1"/>
  <c r="T23" i="1" s="1"/>
  <c r="T13" i="1"/>
  <c r="T12" i="1"/>
  <c r="T27" i="1" s="1"/>
  <c r="T11" i="1"/>
  <c r="T26" i="1" s="1"/>
  <c r="T10" i="1"/>
  <c r="T25" i="1" s="1"/>
  <c r="T6" i="1"/>
  <c r="T4" i="1"/>
  <c r="T7" i="1" s="1"/>
  <c r="T64" i="1" l="1"/>
  <c r="U64" i="1" s="1"/>
  <c r="U63" i="1"/>
  <c r="T14" i="1"/>
  <c r="T15" i="1" s="1"/>
  <c r="T17" i="1" s="1"/>
  <c r="T5" i="1"/>
  <c r="T29" i="1"/>
  <c r="T31" i="1" s="1"/>
  <c r="U75" i="1" l="1"/>
  <c r="T75" i="1"/>
  <c r="X63" i="1"/>
  <c r="T65" i="1"/>
  <c r="U65" i="1" s="1"/>
  <c r="V75" i="1" l="1"/>
  <c r="T66" i="1"/>
  <c r="T67" i="1" s="1"/>
  <c r="X64" i="1"/>
  <c r="X65" i="1" l="1"/>
  <c r="U66" i="1"/>
  <c r="U67" i="1"/>
  <c r="X75" i="1" s="1"/>
  <c r="T68" i="1"/>
  <c r="W75" i="1" l="1"/>
  <c r="U68" i="1"/>
  <c r="Y75" i="1" s="1"/>
  <c r="T69" i="1"/>
  <c r="U69" i="1" s="1"/>
  <c r="Z75" i="1" s="1"/>
  <c r="T70" i="1" l="1"/>
  <c r="U70" i="1" s="1"/>
  <c r="AA75" i="1" s="1"/>
  <c r="P19" i="1" l="1"/>
  <c r="O19" i="1"/>
  <c r="P8" i="1"/>
  <c r="O8" i="1"/>
  <c r="T37" i="1"/>
  <c r="T45" i="1" l="1"/>
  <c r="Y61" i="1" s="1"/>
  <c r="AA61" i="1"/>
</calcChain>
</file>

<file path=xl/sharedStrings.xml><?xml version="1.0" encoding="utf-8"?>
<sst xmlns="http://schemas.openxmlformats.org/spreadsheetml/2006/main" count="464" uniqueCount="354">
  <si>
    <t>Ticket Sold</t>
  </si>
  <si>
    <t>Price/Ticket</t>
  </si>
  <si>
    <t>Total Sales</t>
  </si>
  <si>
    <t>USD to IDR</t>
  </si>
  <si>
    <t>Ticket Price</t>
  </si>
  <si>
    <t>General and administrative expenses</t>
  </si>
  <si>
    <t>Ticketing, sales, and promotion expenses</t>
  </si>
  <si>
    <t>Network operation sales</t>
  </si>
  <si>
    <t>Transportation operation  expenses</t>
  </si>
  <si>
    <t>Total Operating Cost</t>
  </si>
  <si>
    <t>Total Income</t>
  </si>
  <si>
    <t>Garuda Indonesia Inner Features Monthly Operating Data - 2022</t>
  </si>
  <si>
    <t>Analysis Table of Financial</t>
  </si>
  <si>
    <t>Description</t>
  </si>
  <si>
    <t>Operating Revenue</t>
  </si>
  <si>
    <t>Scheduled airlines services</t>
  </si>
  <si>
    <t>Non-scheduled airline services</t>
  </si>
  <si>
    <t>Others</t>
  </si>
  <si>
    <t>Operating expenses</t>
  </si>
  <si>
    <t>Flight operations expenses</t>
  </si>
  <si>
    <t>Maintenance and repairs expenses</t>
  </si>
  <si>
    <t>User charges and station expenses</t>
  </si>
  <si>
    <t>Ticketing, sales and promotion expenses</t>
  </si>
  <si>
    <t>Passenger services expenses</t>
  </si>
  <si>
    <t>Hotel operation expenses</t>
  </si>
  <si>
    <t>Transportation operations expenses</t>
  </si>
  <si>
    <t>Network operation expenses</t>
  </si>
  <si>
    <t>Total Passenger Carried (million)</t>
  </si>
  <si>
    <t>Total Cargo Carried (ton)</t>
  </si>
  <si>
    <t>ASK (million)</t>
  </si>
  <si>
    <t>RPK (million)</t>
  </si>
  <si>
    <t>SLF (%)</t>
  </si>
  <si>
    <t>ATK Cargo (million)</t>
  </si>
  <si>
    <t>RTK Cargo (million)</t>
  </si>
  <si>
    <t>CLF Cargo (%)</t>
  </si>
  <si>
    <t>Aircraft Utilization (hour)</t>
  </si>
  <si>
    <t>Flight Frequencies</t>
  </si>
  <si>
    <t>OTP</t>
  </si>
  <si>
    <t>OTP (%)</t>
  </si>
  <si>
    <t>Block hours</t>
  </si>
  <si>
    <t>Passenger yield (USC)</t>
  </si>
  <si>
    <t>Cargo yield (USC)</t>
  </si>
  <si>
    <t>CASK (USC)</t>
  </si>
  <si>
    <t>CASK-Excl Fuel (USC)</t>
  </si>
  <si>
    <t>Fuel price (USC/Liter)</t>
  </si>
  <si>
    <t>Exchange rate (USDIDR)</t>
  </si>
  <si>
    <t>Fuel burn (million liter)</t>
  </si>
  <si>
    <t xml:space="preserve">Dictionary </t>
  </si>
  <si>
    <t>ASK</t>
  </si>
  <si>
    <t>Available Seat Kilometers</t>
  </si>
  <si>
    <t>RPK</t>
  </si>
  <si>
    <t>Revenue Passenger Kilometer</t>
  </si>
  <si>
    <t>CASK</t>
  </si>
  <si>
    <t>Cost per available seat KM</t>
  </si>
  <si>
    <t>SLF</t>
  </si>
  <si>
    <t>Seat Load Factor</t>
  </si>
  <si>
    <t>ATKC</t>
  </si>
  <si>
    <t>Available Cargo Tonne Kilometres</t>
  </si>
  <si>
    <t>RTKC</t>
  </si>
  <si>
    <t>Revenue Cargo Tonne Kilometres</t>
  </si>
  <si>
    <t>CLF</t>
  </si>
  <si>
    <t>Cargo Load Factor</t>
  </si>
  <si>
    <t>On Time Performance</t>
  </si>
  <si>
    <t>Average Price</t>
  </si>
  <si>
    <t>Flight Frequency</t>
  </si>
  <si>
    <t>Total Revenue</t>
  </si>
  <si>
    <t>Expenses:</t>
  </si>
  <si>
    <t>Flight Operating Expenses</t>
  </si>
  <si>
    <t>Net income</t>
  </si>
  <si>
    <t>YOY</t>
  </si>
  <si>
    <t>Transportation operating expenses</t>
  </si>
  <si>
    <t>Total Passengers</t>
  </si>
  <si>
    <t>Operating Expenses:</t>
  </si>
  <si>
    <t>Net Income</t>
  </si>
  <si>
    <t>Show scenario summarize to total income (Q2)?</t>
  </si>
  <si>
    <t>Set scenario sales and income monthly operating indicator of values (price) increases 3rd 500 tickets sold?</t>
  </si>
  <si>
    <t>Pendapatan Usaha</t>
  </si>
  <si>
    <t>Penerbangan berjadwal</t>
  </si>
  <si>
    <t>Penerbangan tidak berjadwal</t>
  </si>
  <si>
    <t>Lainnya</t>
  </si>
  <si>
    <t>Beban Usaha</t>
  </si>
  <si>
    <t>Beban operasional penerbangan</t>
  </si>
  <si>
    <t>Beban pemeliharaan dan perbaikan</t>
  </si>
  <si>
    <t>Beban umum dan administrasi</t>
  </si>
  <si>
    <t>Beban bandara</t>
  </si>
  <si>
    <t>Beban tiket, penjualan, dan promosi</t>
  </si>
  <si>
    <t>Beban pelayanan penumpang</t>
  </si>
  <si>
    <t>Beban operasional hotel</t>
  </si>
  <si>
    <t>Beban operasional transportasi</t>
  </si>
  <si>
    <t>Beban operasional jaringan</t>
  </si>
  <si>
    <t>Sources:</t>
  </si>
  <si>
    <t xml:space="preserve">1. https://www.garuda-indonesia.com/content/dam/garuda/pdf/investor-relations/monthly-operating-data/INF_Sep2022_Published.pdf
</t>
  </si>
  <si>
    <t>2. https://www.garuda-indonesia.com/content/dam/garuda/files/pdf/investor-relations/financial-report/LKFS%20Garuda%20Indonesia%2030%20September%202022%20Audited.pdf</t>
  </si>
  <si>
    <t>3. https://www.garuda-indonesia.com/id/id/investor-relations/company-data/glossarium/index</t>
  </si>
  <si>
    <t>Harga rata-rata</t>
  </si>
  <si>
    <t>Jumlah Penumpang</t>
  </si>
  <si>
    <t>Frekuensi penerbangan</t>
  </si>
  <si>
    <t>Total pendapatan</t>
  </si>
  <si>
    <t>Pengeluaran:</t>
  </si>
  <si>
    <t>Pendapatan bersih</t>
  </si>
  <si>
    <t>Beban operasional</t>
  </si>
  <si>
    <t>Tiket terjual</t>
  </si>
  <si>
    <t>Harga/tiket</t>
  </si>
  <si>
    <t>Total penjualan</t>
  </si>
  <si>
    <t>Total biaya operasional</t>
  </si>
  <si>
    <t>Tetapkan skenario penjualan dan pendapatan indikator operasi bulanan nilai (harga) peningkatan 500 tiket terjual?</t>
  </si>
  <si>
    <t>Tunjukkan skenario yang diringkas menjadi total pendapatan (Q2)?</t>
  </si>
  <si>
    <t>Scenario Manager (3rd 500 tickets sold)</t>
  </si>
  <si>
    <t>Data Table Combined (1)</t>
  </si>
  <si>
    <t>Estimated Table</t>
  </si>
  <si>
    <t>Quantity Ticket</t>
  </si>
  <si>
    <t>Pricing USD</t>
  </si>
  <si>
    <t>Pricing IDR</t>
  </si>
  <si>
    <t>Data Table (Income 2)</t>
  </si>
  <si>
    <t>Sales Sep 22</t>
  </si>
  <si>
    <t>WHAT-IF ANALYSIS</t>
  </si>
  <si>
    <t>Allocation Schedulled</t>
  </si>
  <si>
    <t>Garuda Indonesia International</t>
  </si>
  <si>
    <t>Garuda Indonesia Domestic</t>
  </si>
  <si>
    <t>Passenger Carried</t>
  </si>
  <si>
    <t>Gross Profit</t>
  </si>
  <si>
    <t>Table of Transportation Costing</t>
  </si>
  <si>
    <t>International</t>
  </si>
  <si>
    <t>Domestic</t>
  </si>
  <si>
    <t>Qty Ticket</t>
  </si>
  <si>
    <t>Soekarno-Hatta Airport</t>
  </si>
  <si>
    <t>Max</t>
  </si>
  <si>
    <t>Singapore Changi Airport</t>
  </si>
  <si>
    <t>max</t>
  </si>
  <si>
    <t>Supply Available</t>
  </si>
  <si>
    <t>Demand Available</t>
  </si>
  <si>
    <t>Total Ticket Sold</t>
  </si>
  <si>
    <t>Penumpang diangkut</t>
  </si>
  <si>
    <t>Laba kotor</t>
  </si>
  <si>
    <t>Beban biaya yang ditanggung penumpang (tiket, administrasi, bagasi, transportasi, dll.)</t>
  </si>
  <si>
    <t/>
  </si>
  <si>
    <t>AUG 2021</t>
  </si>
  <si>
    <t>JUL 2022</t>
  </si>
  <si>
    <t>MOM</t>
  </si>
  <si>
    <t>AUG 2022</t>
  </si>
  <si>
    <t>YTD AUG 2021</t>
  </si>
  <si>
    <t>YTD AUG 2022</t>
  </si>
  <si>
    <t>YTD</t>
  </si>
  <si>
    <t>GARUDA INDONESIA</t>
  </si>
  <si>
    <t>DOMESTIC</t>
  </si>
  <si>
    <t>Passenger Carried*</t>
  </si>
  <si>
    <t>108.859,00</t>
  </si>
  <si>
    <t>284,22%</t>
  </si>
  <si>
    <t>421.899,00</t>
  </si>
  <si>
    <t>-0,86%</t>
  </si>
  <si>
    <t>418.253,00</t>
  </si>
  <si>
    <t>2.066.351,00</t>
  </si>
  <si>
    <t>2.798.452,00</t>
  </si>
  <si>
    <t>35,43%</t>
  </si>
  <si>
    <t>Cargo Carried (Ton)</t>
  </si>
  <si>
    <t>6.241,60</t>
  </si>
  <si>
    <t>-8,48%</t>
  </si>
  <si>
    <t>5.234,95</t>
  </si>
  <si>
    <t>9,12%</t>
  </si>
  <si>
    <t>5.712,51</t>
  </si>
  <si>
    <t>77.417,98</t>
  </si>
  <si>
    <t>48.000,69</t>
  </si>
  <si>
    <t>-38,00%</t>
  </si>
  <si>
    <t>ASK (000)</t>
  </si>
  <si>
    <t>308.482,01</t>
  </si>
  <si>
    <t>79,74%</t>
  </si>
  <si>
    <t>511.746,72</t>
  </si>
  <si>
    <t>8,34%</t>
  </si>
  <si>
    <t>554.450,66</t>
  </si>
  <si>
    <t>6.341.225,68</t>
  </si>
  <si>
    <t>4.496.504,60</t>
  </si>
  <si>
    <t>-29,09%</t>
  </si>
  <si>
    <t>RPK (000)</t>
  </si>
  <si>
    <t>118.332,83</t>
  </si>
  <si>
    <t>282,23%</t>
  </si>
  <si>
    <t>450.719,37</t>
  </si>
  <si>
    <t>0,35%</t>
  </si>
  <si>
    <t>452.300,64</t>
  </si>
  <si>
    <t>2.195.399,38</t>
  </si>
  <si>
    <t>2.957.542,28</t>
  </si>
  <si>
    <t>34,72%</t>
  </si>
  <si>
    <t>38,36</t>
  </si>
  <si>
    <t>43,22 pp</t>
  </si>
  <si>
    <t>88,07</t>
  </si>
  <si>
    <t>-6,50 pp</t>
  </si>
  <si>
    <t>81,58</t>
  </si>
  <si>
    <t>37,03</t>
  </si>
  <si>
    <t>75,58</t>
  </si>
  <si>
    <t>38,55 pp</t>
  </si>
  <si>
    <t>ATK Cargo (000)</t>
  </si>
  <si>
    <t>8.762,87</t>
  </si>
  <si>
    <t>41,18%</t>
  </si>
  <si>
    <t>10.366,42</t>
  </si>
  <si>
    <t>19,34%</t>
  </si>
  <si>
    <t>12.371,05</t>
  </si>
  <si>
    <t>147.355,27</t>
  </si>
  <si>
    <t>94.731,34</t>
  </si>
  <si>
    <t>-35,71%</t>
  </si>
  <si>
    <t>RTK Cargo (000)</t>
  </si>
  <si>
    <t>7.545,79</t>
  </si>
  <si>
    <t>-6,07%</t>
  </si>
  <si>
    <t>6.326,28</t>
  </si>
  <si>
    <t>12,04%</t>
  </si>
  <si>
    <t>7.087,99</t>
  </si>
  <si>
    <t>91.817,98</t>
  </si>
  <si>
    <t>58.087,53</t>
  </si>
  <si>
    <t>-36,74%</t>
  </si>
  <si>
    <t>86,11</t>
  </si>
  <si>
    <t>-28,82 pp</t>
  </si>
  <si>
    <t>61,03</t>
  </si>
  <si>
    <t>-3,73 pp</t>
  </si>
  <si>
    <t>57,29</t>
  </si>
  <si>
    <t>62,31</t>
  </si>
  <si>
    <t>61,32</t>
  </si>
  <si>
    <t>-0,99 pp</t>
  </si>
  <si>
    <t>Passenger Yield (Usc)</t>
  </si>
  <si>
    <t>9,87</t>
  </si>
  <si>
    <t>11,37%</t>
  </si>
  <si>
    <t>10,74</t>
  </si>
  <si>
    <t>2,38%</t>
  </si>
  <si>
    <t>10,99</t>
  </si>
  <si>
    <t>9,67</t>
  </si>
  <si>
    <t>10,46</t>
  </si>
  <si>
    <t>8,12%</t>
  </si>
  <si>
    <t>Cargo Yield (usc)</t>
  </si>
  <si>
    <t>87,31</t>
  </si>
  <si>
    <t>89,24</t>
  </si>
  <si>
    <t>-1,82%</t>
  </si>
  <si>
    <t>87,61</t>
  </si>
  <si>
    <t>89,89</t>
  </si>
  <si>
    <t>86,47</t>
  </si>
  <si>
    <t>-3,80%</t>
  </si>
  <si>
    <t>CASK (Usc)</t>
  </si>
  <si>
    <t>11,14</t>
  </si>
  <si>
    <t>-13,00%</t>
  </si>
  <si>
    <t>10,28</t>
  </si>
  <si>
    <t>-5,74%</t>
  </si>
  <si>
    <t>9,69</t>
  </si>
  <si>
    <t>8,39</t>
  </si>
  <si>
    <t>9,60</t>
  </si>
  <si>
    <t>14,42%</t>
  </si>
  <si>
    <t>CASK-Excl Fuel (Usc)</t>
  </si>
  <si>
    <t>9,20</t>
  </si>
  <si>
    <t>-32,96%</t>
  </si>
  <si>
    <t>6,32</t>
  </si>
  <si>
    <t>-2,47%</t>
  </si>
  <si>
    <t>6,17</t>
  </si>
  <si>
    <t>6,72</t>
  </si>
  <si>
    <t>6,38</t>
  </si>
  <si>
    <t>-4,97%</t>
  </si>
  <si>
    <t>SEP 2021</t>
  </si>
  <si>
    <t>SEP 2022</t>
  </si>
  <si>
    <t>YTD SEP 2021</t>
  </si>
  <si>
    <t>YTD SEP 2022</t>
  </si>
  <si>
    <t>204.512,00</t>
  </si>
  <si>
    <t>116,55%</t>
  </si>
  <si>
    <t>5,88%</t>
  </si>
  <si>
    <t>442.863,00</t>
  </si>
  <si>
    <t>2.270.863,00</t>
  </si>
  <si>
    <t>3.241.315,00</t>
  </si>
  <si>
    <t>42,73%</t>
  </si>
  <si>
    <t>7.403,85</t>
  </si>
  <si>
    <t>-28,87%</t>
  </si>
  <si>
    <t>-7,81%</t>
  </si>
  <si>
    <t>5.266,61</t>
  </si>
  <si>
    <t>84.821,83</t>
  </si>
  <si>
    <t>53.267,30</t>
  </si>
  <si>
    <t>-37,20%</t>
  </si>
  <si>
    <t>412.729,46</t>
  </si>
  <si>
    <t>41,30%</t>
  </si>
  <si>
    <t>5,19%</t>
  </si>
  <si>
    <t>583.207,12</t>
  </si>
  <si>
    <t>239.201,40</t>
  </si>
  <si>
    <t>95,25%</t>
  </si>
  <si>
    <t>3,26%</t>
  </si>
  <si>
    <t>467.046,49</t>
  </si>
  <si>
    <t>2.434.600,78</t>
  </si>
  <si>
    <t>3.424.588,76</t>
  </si>
  <si>
    <t>40,66%</t>
  </si>
  <si>
    <t>57,96</t>
  </si>
  <si>
    <t>22,13 pp</t>
  </si>
  <si>
    <t>-1,49 pp</t>
  </si>
  <si>
    <t>80,08</t>
  </si>
  <si>
    <t>38,39</t>
  </si>
  <si>
    <t>76,16</t>
  </si>
  <si>
    <t>37,77 pp</t>
  </si>
  <si>
    <t>11.710,05</t>
  </si>
  <si>
    <t>10,14%</t>
  </si>
  <si>
    <t>4,26%</t>
  </si>
  <si>
    <t>12.897,76</t>
  </si>
  <si>
    <t>159.065,32</t>
  </si>
  <si>
    <t>107.629,11</t>
  </si>
  <si>
    <t>-32,34%</t>
  </si>
  <si>
    <t>8.956,66</t>
  </si>
  <si>
    <t>-25,83%</t>
  </si>
  <si>
    <t>-6,28%</t>
  </si>
  <si>
    <t>6.642,83</t>
  </si>
  <si>
    <t>100.774,64</t>
  </si>
  <si>
    <t>64.730,36</t>
  </si>
  <si>
    <t>-35,77%</t>
  </si>
  <si>
    <t>76,49</t>
  </si>
  <si>
    <t>-24,98 pp</t>
  </si>
  <si>
    <t>-5,79 pp</t>
  </si>
  <si>
    <t>51,50</t>
  </si>
  <si>
    <t>63,35</t>
  </si>
  <si>
    <t>60,14</t>
  </si>
  <si>
    <t>-3,21 pp</t>
  </si>
  <si>
    <t>9,88</t>
  </si>
  <si>
    <t>11,82%</t>
  </si>
  <si>
    <t>0,50%</t>
  </si>
  <si>
    <t>11,05</t>
  </si>
  <si>
    <t>10,54</t>
  </si>
  <si>
    <t>8,72%</t>
  </si>
  <si>
    <t>80,61</t>
  </si>
  <si>
    <t>16,04%</t>
  </si>
  <si>
    <t>6,77%</t>
  </si>
  <si>
    <t>93,54</t>
  </si>
  <si>
    <t>89,06</t>
  </si>
  <si>
    <t>87,20</t>
  </si>
  <si>
    <t>-2,09%</t>
  </si>
  <si>
    <t>9,45</t>
  </si>
  <si>
    <t>-1,35%</t>
  </si>
  <si>
    <t>-3,78%</t>
  </si>
  <si>
    <t>9,32</t>
  </si>
  <si>
    <t>8,46</t>
  </si>
  <si>
    <t>9,56</t>
  </si>
  <si>
    <t>13,06%</t>
  </si>
  <si>
    <t>7,51</t>
  </si>
  <si>
    <t>-21,67%</t>
  </si>
  <si>
    <t>-4,64%</t>
  </si>
  <si>
    <t>5,88</t>
  </si>
  <si>
    <t>6,77</t>
  </si>
  <si>
    <t>-6,66%</t>
  </si>
  <si>
    <t>Microsoft Excel 16.0 Feasibility Report</t>
  </si>
  <si>
    <t>Worksheet: [Excel Intermediate Couse.xlsx]Sheet3</t>
  </si>
  <si>
    <t>Report Created: 10/13/2023 5:17:48 PM</t>
  </si>
  <si>
    <t>Constraints Which Make the Problem Infeasible</t>
  </si>
  <si>
    <t>Cell</t>
  </si>
  <si>
    <t>Name</t>
  </si>
  <si>
    <t>Cell Value</t>
  </si>
  <si>
    <t>Formula</t>
  </si>
  <si>
    <t>Status</t>
  </si>
  <si>
    <t>Slack</t>
  </si>
  <si>
    <t>$O$23</t>
  </si>
  <si>
    <t>Soekarno-Hatta Airport Supply Available</t>
  </si>
  <si>
    <t>$O$23&lt;=$P$23</t>
  </si>
  <si>
    <t>Binding</t>
  </si>
  <si>
    <t>$O$24</t>
  </si>
  <si>
    <t>Singapore Changi Airport Supply Available</t>
  </si>
  <si>
    <t>$O$24&lt;=$P$24</t>
  </si>
  <si>
    <t>Report Created: 10/13/2023 5:17:49 PM</t>
  </si>
  <si>
    <t>Constraints (not including Variable Bounds) Which Make the Problem Infeasible</t>
  </si>
  <si>
    <t>AUGUST 2022 REALTIME DATA SOURCE</t>
  </si>
  <si>
    <t>SEPTEMBER 2022 REALTIME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</si>
</sst>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_([$USD]\ * #,##0.00_);_([$USD]\ * \(#,##0.00\);_([$USD]\ * &quot;-&quot;??_);_(@_)"/>
    <numFmt numFmtId="165" formatCode="_([$USD]\ * #,##0_);_([$USD]\ * \(#,##0\);_([$USD]\ * &quot;-&quot;??_);_(@_)"/>
    <numFmt numFmtId="166" formatCode="0.0%"/>
    <numFmt numFmtId="176" formatCode="0\ &quot;tickets&quot;"/>
    <numFmt numFmtId="180" formatCode="_([$IDR]\ * #,##0_);_([$IDR]\ * \(#,##0\);_([$IDR]\ * &quot;-&quot;??_);_(@_)"/>
    <numFmt numFmtId="192" formatCode="_([$USD]\ * #,##0_);_([$USD]\ * \(#,##0\);_([$USD]\ * &quot;-&quot;_);_(@_)"/>
    <numFmt numFmtId="193" formatCode="_([$USD]\ * #,##0.00_);_([$USD]\ * \(#,##0.00\);_([$USD]\ 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165" fontId="2" fillId="0" borderId="5" xfId="0" applyNumberFormat="1" applyFont="1" applyBorder="1"/>
    <xf numFmtId="0" fontId="0" fillId="0" borderId="6" xfId="0" applyBorder="1"/>
    <xf numFmtId="165" fontId="2" fillId="0" borderId="7" xfId="0" applyNumberFormat="1" applyFont="1" applyBorder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2" xfId="0" applyBorder="1"/>
    <xf numFmtId="20" fontId="0" fillId="0" borderId="0" xfId="0" applyNumberFormat="1"/>
    <xf numFmtId="20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166" fontId="0" fillId="0" borderId="0" xfId="1" applyNumberFormat="1" applyFont="1" applyBorder="1"/>
    <xf numFmtId="10" fontId="0" fillId="0" borderId="0" xfId="1" applyNumberFormat="1" applyFont="1" applyBorder="1"/>
    <xf numFmtId="166" fontId="0" fillId="0" borderId="5" xfId="1" applyNumberFormat="1" applyFont="1" applyBorder="1"/>
    <xf numFmtId="10" fontId="0" fillId="0" borderId="5" xfId="1" applyNumberFormat="1" applyFont="1" applyBorder="1"/>
    <xf numFmtId="10" fontId="0" fillId="0" borderId="0" xfId="0" applyNumberFormat="1"/>
    <xf numFmtId="1" fontId="0" fillId="0" borderId="0" xfId="0" applyNumberFormat="1"/>
    <xf numFmtId="0" fontId="6" fillId="0" borderId="6" xfId="0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165" fontId="0" fillId="0" borderId="0" xfId="0" applyNumberFormat="1" applyBorder="1"/>
    <xf numFmtId="165" fontId="2" fillId="0" borderId="0" xfId="0" applyNumberFormat="1" applyFont="1" applyBorder="1"/>
    <xf numFmtId="0" fontId="2" fillId="0" borderId="5" xfId="0" applyFont="1" applyBorder="1"/>
    <xf numFmtId="0" fontId="0" fillId="0" borderId="0" xfId="0" applyAlignment="1"/>
    <xf numFmtId="0" fontId="6" fillId="0" borderId="0" xfId="0" applyFont="1"/>
    <xf numFmtId="0" fontId="7" fillId="0" borderId="0" xfId="0" applyFont="1"/>
    <xf numFmtId="0" fontId="5" fillId="0" borderId="4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4" fontId="0" fillId="0" borderId="0" xfId="0" applyNumberFormat="1" applyBorder="1"/>
    <xf numFmtId="1" fontId="0" fillId="0" borderId="0" xfId="0" applyNumberFormat="1" applyBorder="1"/>
    <xf numFmtId="164" fontId="2" fillId="0" borderId="0" xfId="0" applyNumberFormat="1" applyFont="1" applyBorder="1"/>
    <xf numFmtId="0" fontId="2" fillId="0" borderId="0" xfId="0" applyFont="1" applyBorder="1"/>
    <xf numFmtId="0" fontId="0" fillId="0" borderId="4" xfId="0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4" fontId="0" fillId="0" borderId="7" xfId="0" applyNumberFormat="1" applyBorder="1"/>
    <xf numFmtId="0" fontId="2" fillId="0" borderId="8" xfId="0" applyFont="1" applyBorder="1"/>
    <xf numFmtId="17" fontId="2" fillId="0" borderId="2" xfId="0" applyNumberFormat="1" applyFont="1" applyBorder="1"/>
    <xf numFmtId="164" fontId="0" fillId="0" borderId="0" xfId="2" applyNumberFormat="1" applyFont="1" applyBorder="1"/>
    <xf numFmtId="0" fontId="0" fillId="0" borderId="5" xfId="0" applyFill="1" applyBorder="1"/>
    <xf numFmtId="0" fontId="5" fillId="0" borderId="6" xfId="0" applyFont="1" applyBorder="1" applyAlignment="1">
      <alignment horizontal="right"/>
    </xf>
    <xf numFmtId="164" fontId="2" fillId="0" borderId="7" xfId="0" applyNumberFormat="1" applyFont="1" applyBorder="1"/>
    <xf numFmtId="0" fontId="0" fillId="0" borderId="3" xfId="0" applyBorder="1" applyAlignment="1">
      <alignment horizontal="center"/>
    </xf>
    <xf numFmtId="176" fontId="0" fillId="0" borderId="0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80" fontId="0" fillId="0" borderId="0" xfId="0" applyNumberFormat="1"/>
    <xf numFmtId="0" fontId="2" fillId="0" borderId="1" xfId="0" applyFont="1" applyBorder="1"/>
    <xf numFmtId="0" fontId="2" fillId="0" borderId="0" xfId="0" applyFont="1" applyBorder="1" applyAlignment="1">
      <alignment horizontal="center" vertical="center"/>
    </xf>
    <xf numFmtId="176" fontId="0" fillId="0" borderId="4" xfId="0" applyNumberFormat="1" applyBorder="1"/>
    <xf numFmtId="180" fontId="0" fillId="0" borderId="5" xfId="0" applyNumberFormat="1" applyBorder="1"/>
    <xf numFmtId="176" fontId="0" fillId="0" borderId="6" xfId="0" applyNumberFormat="1" applyBorder="1"/>
    <xf numFmtId="180" fontId="0" fillId="0" borderId="8" xfId="0" applyNumberFormat="1" applyBorder="1"/>
    <xf numFmtId="180" fontId="0" fillId="0" borderId="0" xfId="0" applyNumberFormat="1" applyBorder="1"/>
    <xf numFmtId="180" fontId="0" fillId="0" borderId="7" xfId="0" applyNumberFormat="1" applyBorder="1"/>
    <xf numFmtId="9" fontId="0" fillId="0" borderId="5" xfId="0" applyNumberFormat="1" applyBorder="1" applyAlignment="1">
      <alignment horizontal="center"/>
    </xf>
    <xf numFmtId="165" fontId="0" fillId="0" borderId="7" xfId="0" applyNumberFormat="1" applyBorder="1"/>
    <xf numFmtId="180" fontId="2" fillId="0" borderId="0" xfId="0" applyNumberFormat="1" applyFont="1"/>
    <xf numFmtId="165" fontId="2" fillId="0" borderId="4" xfId="0" applyNumberFormat="1" applyFont="1" applyBorder="1"/>
    <xf numFmtId="180" fontId="2" fillId="0" borderId="0" xfId="0" applyNumberFormat="1" applyFont="1" applyBorder="1"/>
    <xf numFmtId="165" fontId="2" fillId="0" borderId="6" xfId="0" applyNumberFormat="1" applyFont="1" applyBorder="1"/>
    <xf numFmtId="164" fontId="0" fillId="0" borderId="5" xfId="0" applyNumberFormat="1" applyBorder="1"/>
    <xf numFmtId="164" fontId="0" fillId="0" borderId="8" xfId="0" applyNumberFormat="1" applyBorder="1"/>
    <xf numFmtId="180" fontId="2" fillId="0" borderId="1" xfId="0" applyNumberFormat="1" applyFont="1" applyBorder="1"/>
    <xf numFmtId="180" fontId="2" fillId="0" borderId="2" xfId="0" applyNumberFormat="1" applyFont="1" applyBorder="1"/>
    <xf numFmtId="180" fontId="2" fillId="0" borderId="3" xfId="0" applyNumberFormat="1" applyFont="1" applyBorder="1"/>
    <xf numFmtId="176" fontId="2" fillId="0" borderId="4" xfId="0" applyNumberFormat="1" applyFont="1" applyBorder="1"/>
    <xf numFmtId="176" fontId="2" fillId="0" borderId="6" xfId="0" applyNumberFormat="1" applyFont="1" applyBorder="1"/>
    <xf numFmtId="192" fontId="2" fillId="0" borderId="0" xfId="0" applyNumberFormat="1" applyFont="1" applyBorder="1"/>
    <xf numFmtId="192" fontId="2" fillId="0" borderId="7" xfId="0" applyNumberFormat="1" applyFont="1" applyBorder="1"/>
    <xf numFmtId="0" fontId="4" fillId="0" borderId="0" xfId="0" applyFont="1" applyAlignment="1">
      <alignment horizontal="center"/>
    </xf>
    <xf numFmtId="17" fontId="4" fillId="0" borderId="0" xfId="0" applyNumberFormat="1" applyFont="1"/>
    <xf numFmtId="193" fontId="0" fillId="0" borderId="0" xfId="0" applyNumberFormat="1"/>
    <xf numFmtId="193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/>
    <xf numFmtId="0" fontId="0" fillId="0" borderId="0" xfId="0" applyAlignment="1">
      <alignment horizontal="center" vertical="center"/>
    </xf>
    <xf numFmtId="1" fontId="0" fillId="2" borderId="0" xfId="0" applyNumberFormat="1" applyFill="1"/>
    <xf numFmtId="0" fontId="4" fillId="2" borderId="0" xfId="0" applyFont="1" applyFill="1"/>
    <xf numFmtId="1" fontId="4" fillId="2" borderId="0" xfId="0" applyNumberFormat="1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0" borderId="9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21648</xdr:colOff>
      <xdr:row>1</xdr:row>
      <xdr:rowOff>144319</xdr:rowOff>
    </xdr:from>
    <xdr:to>
      <xdr:col>12</xdr:col>
      <xdr:colOff>21091</xdr:colOff>
      <xdr:row>25</xdr:row>
      <xdr:rowOff>38544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9B371-D043-7EE7-D690-9EDB2717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8" y="440171"/>
          <a:ext cx="7273079" cy="4410364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</xdr:colOff>
      <xdr:row>26</xdr:row>
      <xdr:rowOff>65084</xdr:rowOff>
    </xdr:from>
    <xdr:to>
      <xdr:col>12</xdr:col>
      <xdr:colOff>72160</xdr:colOff>
      <xdr:row>53</xdr:row>
      <xdr:rowOff>115817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F9B958-2048-10BB-DD5C-7AA11DE56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5051277"/>
          <a:ext cx="7266421" cy="518562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54</xdr:row>
      <xdr:rowOff>142876</xdr:rowOff>
    </xdr:from>
    <xdr:to>
      <xdr:col>12</xdr:col>
      <xdr:colOff>19051</xdr:colOff>
      <xdr:row>77</xdr:row>
      <xdr:rowOff>169020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4C8B4E-B3E3-C05D-0A65-78978D213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1" y="10610851"/>
          <a:ext cx="7219950" cy="445526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78</xdr:row>
      <xdr:rowOff>47624</xdr:rowOff>
    </xdr:from>
    <xdr:to>
      <xdr:col>12</xdr:col>
      <xdr:colOff>35886</xdr:colOff>
      <xdr:row>97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E54CA4-0C35-1F5D-2319-1ACBFD6CD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15087599"/>
          <a:ext cx="7265361" cy="3590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37</xdr:row>
      <xdr:rowOff>85725</xdr:rowOff>
    </xdr:from>
    <xdr:to>
      <xdr:col>8</xdr:col>
      <xdr:colOff>429904</xdr:colOff>
      <xdr:row>66</xdr:row>
      <xdr:rowOff>115075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21E4B-B027-2880-F5D4-131097646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7458075"/>
          <a:ext cx="9164329" cy="555385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70</xdr:row>
      <xdr:rowOff>85725</xdr:rowOff>
    </xdr:from>
    <xdr:to>
      <xdr:col>8</xdr:col>
      <xdr:colOff>586679</xdr:colOff>
      <xdr:row>100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6FD72-0811-A48E-D33D-305F58B5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599" y="13744575"/>
          <a:ext cx="9302055" cy="5657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01D8-02F6-468E-A65A-D438227F7E59}">
  <sheetPr>
    <tabColor rgb="FF0070C0"/>
  </sheetPr>
  <dimension ref="A1:AA103"/>
  <sheetViews>
    <sheetView zoomScaleNormal="100" workbookViewId="0">
      <selection activeCell="N29" sqref="N29"/>
    </sheetView>
  </sheetViews>
  <sheetFormatPr defaultRowHeight="15" x14ac:dyDescent="0.25"/>
  <cols>
    <col min="14" max="14" width="37.7109375" bestFit="1" customWidth="1"/>
    <col min="15" max="15" width="38.5703125" bestFit="1" customWidth="1"/>
    <col min="16" max="16" width="25.7109375" bestFit="1" customWidth="1"/>
    <col min="17" max="17" width="33.85546875" bestFit="1" customWidth="1"/>
    <col min="19" max="19" width="38.42578125" bestFit="1" customWidth="1"/>
    <col min="20" max="20" width="36.5703125" bestFit="1" customWidth="1"/>
    <col min="21" max="21" width="30.5703125" bestFit="1" customWidth="1"/>
    <col min="22" max="22" width="34.140625" bestFit="1" customWidth="1"/>
    <col min="23" max="24" width="27.85546875" bestFit="1" customWidth="1"/>
    <col min="25" max="25" width="30" bestFit="1" customWidth="1"/>
    <col min="26" max="27" width="27.85546875" bestFit="1" customWidth="1"/>
    <col min="28" max="28" width="16.7109375" bestFit="1" customWidth="1"/>
    <col min="29" max="29" width="17.7109375" bestFit="1" customWidth="1"/>
  </cols>
  <sheetData>
    <row r="1" spans="1:21" ht="24" thickBot="1" x14ac:dyDescent="0.4">
      <c r="A1" s="2" t="s">
        <v>11</v>
      </c>
    </row>
    <row r="2" spans="1:21" x14ac:dyDescent="0.25">
      <c r="N2" s="9"/>
      <c r="O2" s="3" t="s">
        <v>12</v>
      </c>
      <c r="P2" s="12"/>
      <c r="Q2" s="10"/>
      <c r="S2" s="9"/>
      <c r="T2" s="3">
        <v>2022</v>
      </c>
      <c r="U2" s="10"/>
    </row>
    <row r="3" spans="1:21" x14ac:dyDescent="0.25">
      <c r="N3" s="33" t="s">
        <v>13</v>
      </c>
      <c r="O3" s="26">
        <v>2021</v>
      </c>
      <c r="P3" s="26">
        <v>2022</v>
      </c>
      <c r="Q3" s="4"/>
      <c r="S3" s="34" t="s">
        <v>63</v>
      </c>
      <c r="T3" s="35">
        <v>122.11683936176975</v>
      </c>
      <c r="U3" s="4" t="s">
        <v>94</v>
      </c>
    </row>
    <row r="4" spans="1:21" x14ac:dyDescent="0.25">
      <c r="N4" s="33" t="s">
        <v>14</v>
      </c>
      <c r="O4" s="25"/>
      <c r="P4" s="25"/>
      <c r="Q4" s="29" t="s">
        <v>76</v>
      </c>
      <c r="S4" s="34" t="s">
        <v>71</v>
      </c>
      <c r="T4" s="25">
        <f>(P21*1000000)/12</f>
        <v>875000</v>
      </c>
      <c r="U4" s="4" t="s">
        <v>95</v>
      </c>
    </row>
    <row r="5" spans="1:21" x14ac:dyDescent="0.25">
      <c r="N5" s="34" t="s">
        <v>15</v>
      </c>
      <c r="O5" s="27">
        <v>732857187</v>
      </c>
      <c r="P5" s="27">
        <v>1156930525</v>
      </c>
      <c r="Q5" s="4" t="s">
        <v>77</v>
      </c>
      <c r="S5" s="34" t="s">
        <v>48</v>
      </c>
      <c r="T5" s="25">
        <f>T4*P23</f>
        <v>142275</v>
      </c>
      <c r="U5" s="4" t="s">
        <v>48</v>
      </c>
    </row>
    <row r="6" spans="1:21" x14ac:dyDescent="0.25">
      <c r="N6" s="34" t="s">
        <v>16</v>
      </c>
      <c r="O6" s="27">
        <v>59877759</v>
      </c>
      <c r="P6" s="27">
        <v>162797694</v>
      </c>
      <c r="Q6" s="4" t="s">
        <v>78</v>
      </c>
      <c r="S6" s="34" t="s">
        <v>64</v>
      </c>
      <c r="T6" s="36">
        <f>P30/12</f>
        <v>6189.333333333333</v>
      </c>
      <c r="U6" s="4" t="s">
        <v>96</v>
      </c>
    </row>
    <row r="7" spans="1:21" x14ac:dyDescent="0.25">
      <c r="N7" s="34" t="s">
        <v>17</v>
      </c>
      <c r="O7" s="27">
        <v>146293994</v>
      </c>
      <c r="P7" s="27">
        <v>185989721</v>
      </c>
      <c r="Q7" s="4" t="s">
        <v>79</v>
      </c>
      <c r="S7" s="33" t="s">
        <v>65</v>
      </c>
      <c r="T7" s="37">
        <f>T3*T4</f>
        <v>106852234.44154853</v>
      </c>
      <c r="U7" s="29" t="s">
        <v>97</v>
      </c>
    </row>
    <row r="8" spans="1:21" x14ac:dyDescent="0.25">
      <c r="N8" s="34"/>
      <c r="O8" s="28">
        <f>SUM(O5:O7)</f>
        <v>939028940</v>
      </c>
      <c r="P8" s="28">
        <f>SUM(P5:P7)</f>
        <v>1505717940</v>
      </c>
      <c r="Q8" s="29"/>
      <c r="S8" s="33"/>
      <c r="T8" s="25"/>
      <c r="U8" s="4"/>
    </row>
    <row r="9" spans="1:21" x14ac:dyDescent="0.25">
      <c r="N9" s="33" t="s">
        <v>18</v>
      </c>
      <c r="O9" s="25"/>
      <c r="P9" s="25"/>
      <c r="Q9" s="29" t="s">
        <v>80</v>
      </c>
      <c r="S9" s="33" t="s">
        <v>66</v>
      </c>
      <c r="T9" s="25"/>
      <c r="U9" s="29" t="s">
        <v>98</v>
      </c>
    </row>
    <row r="10" spans="1:21" x14ac:dyDescent="0.25">
      <c r="N10" s="34" t="s">
        <v>19</v>
      </c>
      <c r="O10" s="27">
        <v>-1113901377</v>
      </c>
      <c r="P10" s="27">
        <v>-1084635776</v>
      </c>
      <c r="Q10" s="4" t="s">
        <v>81</v>
      </c>
      <c r="S10" s="34" t="s">
        <v>67</v>
      </c>
      <c r="T10" s="27">
        <f>P10</f>
        <v>-1084635776</v>
      </c>
      <c r="U10" s="4" t="s">
        <v>81</v>
      </c>
    </row>
    <row r="11" spans="1:21" x14ac:dyDescent="0.25">
      <c r="N11" s="34" t="s">
        <v>20</v>
      </c>
      <c r="O11" s="27">
        <v>-446070069</v>
      </c>
      <c r="P11" s="27">
        <v>-313071504</v>
      </c>
      <c r="Q11" s="4" t="s">
        <v>82</v>
      </c>
      <c r="S11" s="34" t="s">
        <v>5</v>
      </c>
      <c r="T11" s="27">
        <f>P12</f>
        <v>-165052376</v>
      </c>
      <c r="U11" s="4" t="s">
        <v>83</v>
      </c>
    </row>
    <row r="12" spans="1:21" x14ac:dyDescent="0.25">
      <c r="N12" s="34" t="s">
        <v>5</v>
      </c>
      <c r="O12" s="27">
        <v>-135606494</v>
      </c>
      <c r="P12" s="27">
        <v>-165052376</v>
      </c>
      <c r="Q12" s="4" t="s">
        <v>83</v>
      </c>
      <c r="S12" s="34" t="s">
        <v>23</v>
      </c>
      <c r="T12" s="27">
        <f>P15</f>
        <v>-63165026</v>
      </c>
      <c r="U12" s="4" t="s">
        <v>86</v>
      </c>
    </row>
    <row r="13" spans="1:21" x14ac:dyDescent="0.25">
      <c r="N13" s="34" t="s">
        <v>21</v>
      </c>
      <c r="O13" s="27">
        <v>-120682930</v>
      </c>
      <c r="P13" s="27">
        <v>-106087285</v>
      </c>
      <c r="Q13" s="4" t="s">
        <v>84</v>
      </c>
      <c r="S13" s="34" t="s">
        <v>70</v>
      </c>
      <c r="T13" s="27">
        <f>P17</f>
        <v>-8047718</v>
      </c>
      <c r="U13" s="4" t="s">
        <v>88</v>
      </c>
    </row>
    <row r="14" spans="1:21" x14ac:dyDescent="0.25">
      <c r="N14" s="34" t="s">
        <v>22</v>
      </c>
      <c r="O14" s="27">
        <v>-66719843</v>
      </c>
      <c r="P14" s="27">
        <v>-101255991</v>
      </c>
      <c r="Q14" s="4" t="s">
        <v>85</v>
      </c>
      <c r="S14" s="34"/>
      <c r="T14" s="27">
        <f>SUM(T10:T13)</f>
        <v>-1320900896</v>
      </c>
      <c r="U14" s="4"/>
    </row>
    <row r="15" spans="1:21" x14ac:dyDescent="0.25">
      <c r="N15" s="34" t="s">
        <v>23</v>
      </c>
      <c r="O15" s="27">
        <v>-64211164</v>
      </c>
      <c r="P15" s="27">
        <v>-63165026</v>
      </c>
      <c r="Q15" s="4" t="s">
        <v>86</v>
      </c>
      <c r="S15" s="34"/>
      <c r="T15" s="35">
        <f>T14/12</f>
        <v>-110075074.66666667</v>
      </c>
      <c r="U15" s="4"/>
    </row>
    <row r="16" spans="1:21" x14ac:dyDescent="0.25">
      <c r="N16" s="34" t="s">
        <v>24</v>
      </c>
      <c r="O16" s="27">
        <v>-16425517</v>
      </c>
      <c r="P16" s="27">
        <v>-14944203</v>
      </c>
      <c r="Q16" s="4" t="s">
        <v>87</v>
      </c>
      <c r="S16" s="34"/>
      <c r="T16" s="25"/>
      <c r="U16" s="4"/>
    </row>
    <row r="17" spans="14:21" x14ac:dyDescent="0.25">
      <c r="N17" s="34" t="s">
        <v>25</v>
      </c>
      <c r="O17" s="27">
        <v>-11009046</v>
      </c>
      <c r="P17" s="27">
        <v>-8047718</v>
      </c>
      <c r="Q17" s="4" t="s">
        <v>88</v>
      </c>
      <c r="S17" s="33" t="s">
        <v>68</v>
      </c>
      <c r="T17" s="35">
        <f>T7-T15</f>
        <v>216927309.10821521</v>
      </c>
      <c r="U17" s="29" t="s">
        <v>99</v>
      </c>
    </row>
    <row r="18" spans="14:21" x14ac:dyDescent="0.25">
      <c r="N18" s="34" t="s">
        <v>26</v>
      </c>
      <c r="O18" s="27">
        <v>-6030130</v>
      </c>
      <c r="P18" s="27">
        <v>-3093621</v>
      </c>
      <c r="Q18" s="4" t="s">
        <v>89</v>
      </c>
      <c r="S18" s="39"/>
      <c r="T18" s="25"/>
      <c r="U18" s="4"/>
    </row>
    <row r="19" spans="14:21" ht="15.75" thickBot="1" x14ac:dyDescent="0.3">
      <c r="N19" s="24"/>
      <c r="O19" s="8">
        <f>-SUM(O10:O18)</f>
        <v>1980656570</v>
      </c>
      <c r="P19" s="8">
        <f>-SUM(P10:P18)</f>
        <v>1859353500</v>
      </c>
      <c r="Q19" s="16"/>
      <c r="S19" s="39"/>
      <c r="T19" s="25"/>
      <c r="U19" s="4"/>
    </row>
    <row r="20" spans="14:21" ht="15.75" thickBot="1" x14ac:dyDescent="0.3">
      <c r="S20" s="39"/>
      <c r="T20" s="25"/>
      <c r="U20" s="4"/>
    </row>
    <row r="21" spans="14:21" x14ac:dyDescent="0.25">
      <c r="N21" s="9" t="s">
        <v>27</v>
      </c>
      <c r="O21" s="12">
        <v>7.67</v>
      </c>
      <c r="P21" s="10">
        <v>10.5</v>
      </c>
      <c r="S21" s="34" t="s">
        <v>63</v>
      </c>
      <c r="T21" s="35">
        <f>T3</f>
        <v>122.11683936176975</v>
      </c>
      <c r="U21" s="4" t="s">
        <v>94</v>
      </c>
    </row>
    <row r="22" spans="14:21" x14ac:dyDescent="0.25">
      <c r="N22" s="5" t="s">
        <v>28</v>
      </c>
      <c r="O22">
        <v>217955.4</v>
      </c>
      <c r="P22" s="4">
        <v>143717.39000000001</v>
      </c>
      <c r="S22" s="34" t="s">
        <v>71</v>
      </c>
      <c r="T22" s="25"/>
      <c r="U22" s="4" t="s">
        <v>95</v>
      </c>
    </row>
    <row r="23" spans="14:21" x14ac:dyDescent="0.25">
      <c r="N23" s="5" t="s">
        <v>29</v>
      </c>
      <c r="O23" s="22">
        <v>0.19670000000000001</v>
      </c>
      <c r="P23" s="21">
        <v>0.16259999999999999</v>
      </c>
      <c r="S23" s="33" t="s">
        <v>65</v>
      </c>
      <c r="T23" s="37">
        <f>T21*T22</f>
        <v>0</v>
      </c>
      <c r="U23" s="29" t="s">
        <v>97</v>
      </c>
    </row>
    <row r="24" spans="14:21" x14ac:dyDescent="0.25">
      <c r="N24" s="5" t="s">
        <v>30</v>
      </c>
      <c r="O24">
        <v>7.57</v>
      </c>
      <c r="P24" s="4">
        <v>11.61</v>
      </c>
      <c r="S24" s="34"/>
      <c r="T24" s="25"/>
      <c r="U24" s="4"/>
    </row>
    <row r="25" spans="14:21" x14ac:dyDescent="0.25">
      <c r="N25" s="5" t="s">
        <v>31</v>
      </c>
      <c r="O25" s="19">
        <v>0.38490000000000002</v>
      </c>
      <c r="P25" s="21">
        <v>0.7137</v>
      </c>
      <c r="S25" s="34" t="s">
        <v>67</v>
      </c>
      <c r="T25" s="35">
        <f>T10/12</f>
        <v>-90386314.666666672</v>
      </c>
      <c r="U25" s="4" t="s">
        <v>81</v>
      </c>
    </row>
    <row r="26" spans="14:21" x14ac:dyDescent="0.25">
      <c r="N26" s="5" t="s">
        <v>32</v>
      </c>
      <c r="O26">
        <v>0.72</v>
      </c>
      <c r="P26" s="4">
        <v>0.54</v>
      </c>
      <c r="S26" s="34" t="s">
        <v>5</v>
      </c>
      <c r="T26" s="35">
        <f t="shared" ref="T26:T27" si="0">T11/12</f>
        <v>-13754364.666666666</v>
      </c>
      <c r="U26" s="4" t="s">
        <v>83</v>
      </c>
    </row>
    <row r="27" spans="14:21" x14ac:dyDescent="0.25">
      <c r="N27" s="5" t="s">
        <v>33</v>
      </c>
      <c r="O27">
        <v>0.44</v>
      </c>
      <c r="P27" s="4">
        <v>0.26</v>
      </c>
      <c r="S27" s="34" t="s">
        <v>23</v>
      </c>
      <c r="T27" s="35">
        <f t="shared" si="0"/>
        <v>-5263752.166666667</v>
      </c>
      <c r="U27" s="4" t="s">
        <v>86</v>
      </c>
    </row>
    <row r="28" spans="14:21" x14ac:dyDescent="0.25">
      <c r="N28" s="5" t="s">
        <v>34</v>
      </c>
      <c r="O28" s="18">
        <v>0.61699999999999999</v>
      </c>
      <c r="P28" s="21">
        <v>0.48959999999999998</v>
      </c>
      <c r="S28" s="34" t="s">
        <v>70</v>
      </c>
      <c r="T28" s="35">
        <f>T13/12</f>
        <v>-670643.16666666663</v>
      </c>
      <c r="U28" s="4" t="s">
        <v>88</v>
      </c>
    </row>
    <row r="29" spans="14:21" ht="15.75" x14ac:dyDescent="0.25">
      <c r="N29" s="5" t="s">
        <v>35</v>
      </c>
      <c r="O29" s="13">
        <v>0.20208333333333331</v>
      </c>
      <c r="P29" s="14">
        <v>0.27777777777777779</v>
      </c>
      <c r="S29" s="40" t="s">
        <v>72</v>
      </c>
      <c r="T29" s="35">
        <f>SUM(T25:T28)</f>
        <v>-110075074.66666669</v>
      </c>
      <c r="U29" s="4" t="s">
        <v>100</v>
      </c>
    </row>
    <row r="30" spans="14:21" x14ac:dyDescent="0.25">
      <c r="N30" s="5" t="s">
        <v>36</v>
      </c>
      <c r="O30">
        <v>91666</v>
      </c>
      <c r="P30" s="4">
        <v>74272</v>
      </c>
      <c r="S30" s="34"/>
      <c r="T30" s="25"/>
      <c r="U30" s="4"/>
    </row>
    <row r="31" spans="14:21" ht="16.5" thickBot="1" x14ac:dyDescent="0.3">
      <c r="N31" s="5" t="s">
        <v>38</v>
      </c>
      <c r="O31" s="19">
        <v>0.9425</v>
      </c>
      <c r="P31" s="20">
        <v>0.876</v>
      </c>
      <c r="S31" s="41" t="s">
        <v>73</v>
      </c>
      <c r="T31" s="42">
        <f>T23-T29</f>
        <v>110075074.66666669</v>
      </c>
      <c r="U31" s="43" t="s">
        <v>99</v>
      </c>
    </row>
    <row r="32" spans="14:21" x14ac:dyDescent="0.25">
      <c r="N32" s="5" t="s">
        <v>46</v>
      </c>
      <c r="O32">
        <v>594.58000000000004</v>
      </c>
      <c r="P32" s="4">
        <v>527.72</v>
      </c>
    </row>
    <row r="33" spans="14:24" ht="15.75" thickBot="1" x14ac:dyDescent="0.3">
      <c r="N33" s="5" t="s">
        <v>39</v>
      </c>
      <c r="O33">
        <v>184905.86</v>
      </c>
      <c r="P33" s="4">
        <v>153266.74</v>
      </c>
    </row>
    <row r="34" spans="14:24" x14ac:dyDescent="0.25">
      <c r="N34" s="5" t="s">
        <v>40</v>
      </c>
      <c r="O34">
        <v>6</v>
      </c>
      <c r="P34" s="4">
        <v>8.27</v>
      </c>
      <c r="S34" s="9"/>
      <c r="T34" s="44">
        <v>44440</v>
      </c>
      <c r="U34" s="44">
        <v>44805</v>
      </c>
      <c r="V34" s="10"/>
      <c r="W34" t="s">
        <v>3</v>
      </c>
      <c r="X34">
        <v>15731</v>
      </c>
    </row>
    <row r="35" spans="14:24" x14ac:dyDescent="0.25">
      <c r="N35" s="5" t="s">
        <v>41</v>
      </c>
      <c r="O35">
        <v>56.81</v>
      </c>
      <c r="P35" s="4">
        <v>65.52</v>
      </c>
      <c r="S35" s="34" t="s">
        <v>0</v>
      </c>
      <c r="T35" s="25">
        <v>747745</v>
      </c>
      <c r="U35" s="25">
        <v>1254897</v>
      </c>
      <c r="V35" s="4" t="s">
        <v>101</v>
      </c>
      <c r="W35" t="s">
        <v>4</v>
      </c>
      <c r="X35">
        <v>1921020</v>
      </c>
    </row>
    <row r="36" spans="14:24" x14ac:dyDescent="0.25">
      <c r="N36" s="5" t="s">
        <v>42</v>
      </c>
      <c r="O36">
        <v>5.98</v>
      </c>
      <c r="P36" s="4">
        <v>6.87</v>
      </c>
      <c r="S36" s="34" t="s">
        <v>1</v>
      </c>
      <c r="T36" s="35">
        <f>X35/X34</f>
        <v>122.11683936176975</v>
      </c>
      <c r="U36" s="45">
        <v>122.11683936176975</v>
      </c>
      <c r="V36" s="4" t="s">
        <v>102</v>
      </c>
    </row>
    <row r="37" spans="14:24" x14ac:dyDescent="0.25">
      <c r="N37" s="5" t="s">
        <v>43</v>
      </c>
      <c r="O37">
        <v>4.49</v>
      </c>
      <c r="P37" s="4">
        <v>3.92</v>
      </c>
      <c r="S37" s="33" t="s">
        <v>2</v>
      </c>
      <c r="T37" s="28">
        <f>T35*T36</f>
        <v>91312256.04856652</v>
      </c>
      <c r="U37" s="28">
        <f>U35*U36</f>
        <v>153244055.36456677</v>
      </c>
      <c r="V37" s="4" t="s">
        <v>103</v>
      </c>
    </row>
    <row r="38" spans="14:24" x14ac:dyDescent="0.25">
      <c r="N38" s="5" t="s">
        <v>44</v>
      </c>
      <c r="O38">
        <v>4.49</v>
      </c>
      <c r="P38" s="4">
        <v>3.92</v>
      </c>
      <c r="S38" s="34"/>
      <c r="T38" s="25"/>
      <c r="U38" s="25"/>
      <c r="V38" s="4"/>
    </row>
    <row r="39" spans="14:24" ht="15.75" thickBot="1" x14ac:dyDescent="0.3">
      <c r="N39" s="7" t="s">
        <v>45</v>
      </c>
      <c r="O39" s="15">
        <v>14269</v>
      </c>
      <c r="P39" s="16">
        <v>15731</v>
      </c>
      <c r="S39" s="34" t="s">
        <v>5</v>
      </c>
      <c r="T39" s="35">
        <f>O12/12</f>
        <v>-11300541.166666666</v>
      </c>
      <c r="U39" s="35">
        <f>P12/12</f>
        <v>-13754364.666666666</v>
      </c>
      <c r="V39" s="4" t="s">
        <v>83</v>
      </c>
    </row>
    <row r="40" spans="14:24" x14ac:dyDescent="0.25">
      <c r="S40" s="34" t="s">
        <v>6</v>
      </c>
      <c r="T40" s="35">
        <f>O14/12</f>
        <v>-5559986.916666667</v>
      </c>
      <c r="U40" s="35">
        <f>P14/12</f>
        <v>-8437999.25</v>
      </c>
      <c r="V40" s="4" t="s">
        <v>85</v>
      </c>
    </row>
    <row r="41" spans="14:24" ht="15.75" x14ac:dyDescent="0.25">
      <c r="N41" s="17" t="s">
        <v>47</v>
      </c>
      <c r="S41" s="34" t="s">
        <v>7</v>
      </c>
      <c r="T41" s="35">
        <f>O18/12</f>
        <v>-502510.83333333331</v>
      </c>
      <c r="U41" s="35">
        <f>P18/12</f>
        <v>-257801.75</v>
      </c>
      <c r="V41" s="4" t="s">
        <v>89</v>
      </c>
    </row>
    <row r="42" spans="14:24" x14ac:dyDescent="0.25">
      <c r="N42" t="s">
        <v>48</v>
      </c>
      <c r="O42" t="s">
        <v>49</v>
      </c>
      <c r="S42" s="34" t="s">
        <v>8</v>
      </c>
      <c r="T42" s="35">
        <f>O17/12</f>
        <v>-917420.5</v>
      </c>
      <c r="U42" s="35">
        <f>P17/12</f>
        <v>-670643.16666666663</v>
      </c>
      <c r="V42" s="4" t="s">
        <v>88</v>
      </c>
    </row>
    <row r="43" spans="14:24" x14ac:dyDescent="0.25">
      <c r="N43" t="s">
        <v>50</v>
      </c>
      <c r="O43" t="s">
        <v>51</v>
      </c>
      <c r="S43" s="33" t="s">
        <v>9</v>
      </c>
      <c r="T43" s="37">
        <f>SUM(T39:T42)</f>
        <v>-18280459.416666664</v>
      </c>
      <c r="U43" s="37">
        <f>SUM(U39:U42)</f>
        <v>-23120808.833333332</v>
      </c>
      <c r="V43" s="46" t="s">
        <v>104</v>
      </c>
    </row>
    <row r="44" spans="14:24" x14ac:dyDescent="0.25">
      <c r="N44" t="s">
        <v>52</v>
      </c>
      <c r="O44" t="s">
        <v>53</v>
      </c>
      <c r="P44" t="s">
        <v>134</v>
      </c>
      <c r="S44" s="34"/>
      <c r="T44" s="25"/>
      <c r="U44" s="25"/>
      <c r="V44" s="4"/>
    </row>
    <row r="45" spans="14:24" ht="15.75" thickBot="1" x14ac:dyDescent="0.3">
      <c r="N45" t="s">
        <v>54</v>
      </c>
      <c r="O45" t="s">
        <v>55</v>
      </c>
      <c r="S45" s="47" t="s">
        <v>10</v>
      </c>
      <c r="T45" s="48">
        <f>T37-T43</f>
        <v>109592715.46523318</v>
      </c>
      <c r="U45" s="48">
        <f>U37-U43</f>
        <v>176364864.19790012</v>
      </c>
      <c r="V45" s="16" t="s">
        <v>97</v>
      </c>
    </row>
    <row r="46" spans="14:24" x14ac:dyDescent="0.25">
      <c r="N46" t="s">
        <v>56</v>
      </c>
      <c r="O46" t="s">
        <v>57</v>
      </c>
    </row>
    <row r="47" spans="14:24" x14ac:dyDescent="0.25">
      <c r="N47" t="s">
        <v>58</v>
      </c>
      <c r="O47" t="s">
        <v>59</v>
      </c>
    </row>
    <row r="48" spans="14:24" x14ac:dyDescent="0.25">
      <c r="N48" t="s">
        <v>60</v>
      </c>
      <c r="O48" t="s">
        <v>61</v>
      </c>
      <c r="S48" t="s">
        <v>105</v>
      </c>
    </row>
    <row r="49" spans="14:27" x14ac:dyDescent="0.25">
      <c r="N49" t="s">
        <v>37</v>
      </c>
      <c r="O49" t="s">
        <v>62</v>
      </c>
      <c r="S49" s="31" t="s">
        <v>75</v>
      </c>
    </row>
    <row r="51" spans="14:27" x14ac:dyDescent="0.25">
      <c r="S51" t="s">
        <v>106</v>
      </c>
    </row>
    <row r="52" spans="14:27" x14ac:dyDescent="0.25">
      <c r="S52" s="31" t="s">
        <v>74</v>
      </c>
    </row>
    <row r="53" spans="14:27" ht="15.75" thickBot="1" x14ac:dyDescent="0.3"/>
    <row r="54" spans="14:27" x14ac:dyDescent="0.25">
      <c r="S54" s="9"/>
      <c r="T54" s="3" t="s">
        <v>107</v>
      </c>
      <c r="U54" s="49">
        <v>500</v>
      </c>
    </row>
    <row r="55" spans="14:27" x14ac:dyDescent="0.25">
      <c r="S55" s="5">
        <v>1</v>
      </c>
      <c r="T55" s="50">
        <f>T35+U54</f>
        <v>748245</v>
      </c>
      <c r="U55" s="4"/>
    </row>
    <row r="56" spans="14:27" x14ac:dyDescent="0.25">
      <c r="S56" s="5">
        <v>2</v>
      </c>
      <c r="T56" s="50">
        <f>T55+U54</f>
        <v>748745</v>
      </c>
      <c r="U56" s="4"/>
    </row>
    <row r="57" spans="14:27" ht="15.75" thickBot="1" x14ac:dyDescent="0.3">
      <c r="S57" s="7">
        <v>3</v>
      </c>
      <c r="T57" s="51">
        <f>T56+U54</f>
        <v>749245</v>
      </c>
      <c r="U57" s="16"/>
      <c r="X57" s="1" t="s">
        <v>115</v>
      </c>
    </row>
    <row r="59" spans="14:27" ht="15.75" thickBot="1" x14ac:dyDescent="0.3"/>
    <row r="60" spans="14:27" x14ac:dyDescent="0.25">
      <c r="S60" s="53" t="s">
        <v>108</v>
      </c>
      <c r="T60" s="12"/>
      <c r="U60" s="12"/>
      <c r="V60" s="10"/>
      <c r="X60" s="53" t="s">
        <v>113</v>
      </c>
      <c r="Y60" s="12"/>
      <c r="Z60" s="12"/>
      <c r="AA60" s="10"/>
    </row>
    <row r="61" spans="14:27" x14ac:dyDescent="0.25">
      <c r="S61" s="5"/>
      <c r="T61" s="54" t="s">
        <v>109</v>
      </c>
      <c r="U61" s="25"/>
      <c r="V61" s="61">
        <v>0.05</v>
      </c>
      <c r="X61" s="5"/>
      <c r="Y61" s="37">
        <f>T45</f>
        <v>109592715.46523318</v>
      </c>
      <c r="Z61" s="25"/>
      <c r="AA61" s="6">
        <f>T37</f>
        <v>91312256.04856652</v>
      </c>
    </row>
    <row r="62" spans="14:27" x14ac:dyDescent="0.25">
      <c r="S62" s="11" t="s">
        <v>110</v>
      </c>
      <c r="T62" s="38" t="s">
        <v>111</v>
      </c>
      <c r="U62" s="38" t="s">
        <v>112</v>
      </c>
      <c r="V62" s="4"/>
      <c r="X62" s="64">
        <f>T63</f>
        <v>128.22268132985823</v>
      </c>
      <c r="Y62" s="35">
        <f t="dataTable" ref="Y62:Y65" dt2D="0" dtr="0" r1="T36" ca="1"/>
        <v>114158328.26766151</v>
      </c>
      <c r="Z62" s="74">
        <v>15000</v>
      </c>
      <c r="AA62" s="67">
        <f t="dataTable" ref="AA62:AA65" dt2D="0" dtr="0" r1="U35" ca="1"/>
        <v>91312256.04856652</v>
      </c>
    </row>
    <row r="63" spans="14:27" x14ac:dyDescent="0.25">
      <c r="S63" s="55">
        <v>5000</v>
      </c>
      <c r="T63" s="27">
        <f>(T36*$V$61)+T36</f>
        <v>128.22268132985823</v>
      </c>
      <c r="U63" s="59">
        <f>T63*$X$34</f>
        <v>2017070.9999999998</v>
      </c>
      <c r="V63" s="4"/>
      <c r="X63" s="64">
        <f t="shared" ref="X63:X66" si="1">T64</f>
        <v>134.63381539635114</v>
      </c>
      <c r="Y63" s="35">
        <v>123985809.82488847</v>
      </c>
      <c r="Z63" s="74">
        <v>20000</v>
      </c>
      <c r="AA63" s="67">
        <v>91312256.04856652</v>
      </c>
    </row>
    <row r="64" spans="14:27" x14ac:dyDescent="0.25">
      <c r="S64" s="55">
        <v>10000</v>
      </c>
      <c r="T64" s="27">
        <f>(T63*$V$61)+T63</f>
        <v>134.63381539635114</v>
      </c>
      <c r="U64" s="59">
        <f t="shared" ref="U64:U70" si="2">T64*$X$34</f>
        <v>2117924.5499999998</v>
      </c>
      <c r="V64" s="4"/>
      <c r="X64" s="64">
        <f t="shared" si="1"/>
        <v>141.3655061661687</v>
      </c>
      <c r="Y64" s="35">
        <v>140647615.68298444</v>
      </c>
      <c r="Z64" s="74">
        <v>25000</v>
      </c>
      <c r="AA64" s="67">
        <v>91312256.04856652</v>
      </c>
    </row>
    <row r="65" spans="19:27" ht="15.75" thickBot="1" x14ac:dyDescent="0.3">
      <c r="S65" s="55">
        <v>15000</v>
      </c>
      <c r="T65" s="27">
        <f>(T64*$V$61)+T64</f>
        <v>141.3655061661687</v>
      </c>
      <c r="U65" s="59">
        <f t="shared" si="2"/>
        <v>2223820.7774999999</v>
      </c>
      <c r="V65" s="4"/>
      <c r="X65" s="66">
        <f t="shared" si="1"/>
        <v>148.43378147447714</v>
      </c>
      <c r="Y65" s="42">
        <v>167018502.65310258</v>
      </c>
      <c r="Z65" s="75">
        <v>30000</v>
      </c>
      <c r="AA65" s="68">
        <v>91312256.04856652</v>
      </c>
    </row>
    <row r="66" spans="19:27" x14ac:dyDescent="0.25">
      <c r="S66" s="55">
        <v>20000</v>
      </c>
      <c r="T66" s="27">
        <f t="shared" ref="T66:T70" si="3">(T65*$V$61)+T65</f>
        <v>148.43378147447714</v>
      </c>
      <c r="U66" s="59">
        <f t="shared" si="2"/>
        <v>2335011.8163749999</v>
      </c>
      <c r="V66" s="4"/>
      <c r="X66" s="28"/>
      <c r="Y66" s="35"/>
      <c r="Z66" s="65"/>
      <c r="AA66" s="35"/>
    </row>
    <row r="67" spans="19:27" x14ac:dyDescent="0.25">
      <c r="S67" s="55">
        <v>25000</v>
      </c>
      <c r="T67" s="27">
        <f>(T66*$V$61)+T66</f>
        <v>155.855470548201</v>
      </c>
      <c r="U67" s="59">
        <f t="shared" si="2"/>
        <v>2451762.4071937497</v>
      </c>
      <c r="V67" s="4"/>
    </row>
    <row r="68" spans="19:27" x14ac:dyDescent="0.25">
      <c r="S68" s="55">
        <v>30000</v>
      </c>
      <c r="T68" s="27">
        <f t="shared" ref="T68:T70" si="4">(T67*$V$61)+T67</f>
        <v>163.64824407561105</v>
      </c>
      <c r="U68" s="59">
        <f t="shared" si="2"/>
        <v>2574350.5275534373</v>
      </c>
      <c r="V68" s="4"/>
      <c r="X68" s="1" t="s">
        <v>114</v>
      </c>
      <c r="Y68">
        <f>U35</f>
        <v>1254897</v>
      </c>
    </row>
    <row r="69" spans="19:27" x14ac:dyDescent="0.25">
      <c r="S69" s="55">
        <v>35000</v>
      </c>
      <c r="T69" s="27">
        <f>(T68*$V$61)+T68</f>
        <v>171.8306562793916</v>
      </c>
      <c r="U69" s="59">
        <f t="shared" si="2"/>
        <v>2703068.0539311091</v>
      </c>
      <c r="V69" s="4"/>
      <c r="X69" s="1" t="s">
        <v>1</v>
      </c>
      <c r="Y69" s="52">
        <f>X35</f>
        <v>1921020</v>
      </c>
    </row>
    <row r="70" spans="19:27" ht="15.75" thickBot="1" x14ac:dyDescent="0.3">
      <c r="S70" s="57">
        <v>40000</v>
      </c>
      <c r="T70" s="62">
        <f t="shared" ref="T70" si="5">(T69*$V$61)+T69</f>
        <v>180.4221890933612</v>
      </c>
      <c r="U70" s="60">
        <f t="shared" si="2"/>
        <v>2838221.4566276651</v>
      </c>
      <c r="V70" s="16"/>
      <c r="X70" s="1" t="s">
        <v>2</v>
      </c>
      <c r="Y70" s="63">
        <f>Y68*Y69</f>
        <v>2410682234940</v>
      </c>
    </row>
    <row r="73" spans="19:27" x14ac:dyDescent="0.25">
      <c r="S73" s="1" t="s">
        <v>115</v>
      </c>
    </row>
    <row r="74" spans="19:27" ht="15.75" thickBot="1" x14ac:dyDescent="0.3"/>
    <row r="75" spans="19:27" x14ac:dyDescent="0.25">
      <c r="S75" s="69">
        <f>Y70</f>
        <v>2410682234940</v>
      </c>
      <c r="T75" s="70">
        <f>U63</f>
        <v>2017070.9999999998</v>
      </c>
      <c r="U75" s="70">
        <f>U64</f>
        <v>2117924.5499999998</v>
      </c>
      <c r="V75" s="70">
        <f>U65</f>
        <v>2223820.7774999999</v>
      </c>
      <c r="W75" s="70">
        <f>U66</f>
        <v>2335011.8163749999</v>
      </c>
      <c r="X75" s="70">
        <f>U67</f>
        <v>2451762.4071937497</v>
      </c>
      <c r="Y75" s="70">
        <f>U68</f>
        <v>2574350.5275534373</v>
      </c>
      <c r="Z75" s="70">
        <f>U69</f>
        <v>2703068.0539311091</v>
      </c>
      <c r="AA75" s="71">
        <f>U70</f>
        <v>2838221.4566276651</v>
      </c>
    </row>
    <row r="76" spans="19:27" x14ac:dyDescent="0.25">
      <c r="S76" s="72">
        <f>S63</f>
        <v>5000</v>
      </c>
      <c r="T76" s="59">
        <f t="dataTable" ref="T76:AA83" dt2D="1" dtr="1" r1="Y68" r2="Y69"/>
        <v>10085354999.999998</v>
      </c>
      <c r="U76" s="59">
        <v>10589622750</v>
      </c>
      <c r="V76" s="59">
        <v>11119103887.5</v>
      </c>
      <c r="W76" s="59">
        <v>11675059081.875</v>
      </c>
      <c r="X76" s="59">
        <v>12258812035.968748</v>
      </c>
      <c r="Y76" s="59">
        <v>12871752637.767187</v>
      </c>
      <c r="Z76" s="59">
        <v>13515340269.655546</v>
      </c>
      <c r="AA76" s="56">
        <v>14191107283.138325</v>
      </c>
    </row>
    <row r="77" spans="19:27" x14ac:dyDescent="0.25">
      <c r="S77" s="72">
        <f>S64</f>
        <v>10000</v>
      </c>
      <c r="T77" s="59">
        <v>20170709999.999996</v>
      </c>
      <c r="U77" s="59">
        <v>21179245500</v>
      </c>
      <c r="V77" s="59">
        <v>22238207775</v>
      </c>
      <c r="W77" s="59">
        <v>23350118163.75</v>
      </c>
      <c r="X77" s="59">
        <v>24517624071.937496</v>
      </c>
      <c r="Y77" s="59">
        <v>25743505275.534374</v>
      </c>
      <c r="Z77" s="59">
        <v>27030680539.311092</v>
      </c>
      <c r="AA77" s="56">
        <v>28382214566.276649</v>
      </c>
    </row>
    <row r="78" spans="19:27" x14ac:dyDescent="0.25">
      <c r="S78" s="72">
        <f t="shared" ref="S78:S83" si="6">S65</f>
        <v>15000</v>
      </c>
      <c r="T78" s="59">
        <v>30256064999.999996</v>
      </c>
      <c r="U78" s="59">
        <v>31768868249.999996</v>
      </c>
      <c r="V78" s="59">
        <v>33357311662.499996</v>
      </c>
      <c r="W78" s="59">
        <v>35025177245.625</v>
      </c>
      <c r="X78" s="59">
        <v>36776436107.906242</v>
      </c>
      <c r="Y78" s="59">
        <v>38615257913.301559</v>
      </c>
      <c r="Z78" s="59">
        <v>40546020808.966637</v>
      </c>
      <c r="AA78" s="56">
        <v>42573321849.414978</v>
      </c>
    </row>
    <row r="79" spans="19:27" x14ac:dyDescent="0.25">
      <c r="S79" s="72">
        <f t="shared" si="6"/>
        <v>20000</v>
      </c>
      <c r="T79" s="59">
        <v>40341419999.999992</v>
      </c>
      <c r="U79" s="59">
        <v>42358491000</v>
      </c>
      <c r="V79" s="59">
        <v>44476415550</v>
      </c>
      <c r="W79" s="59">
        <v>46700236327.5</v>
      </c>
      <c r="X79" s="59">
        <v>49035248143.874992</v>
      </c>
      <c r="Y79" s="59">
        <v>51487010551.068748</v>
      </c>
      <c r="Z79" s="59">
        <v>54061361078.622185</v>
      </c>
      <c r="AA79" s="56">
        <v>56764429132.553299</v>
      </c>
    </row>
    <row r="80" spans="19:27" x14ac:dyDescent="0.25">
      <c r="S80" s="72">
        <f t="shared" si="6"/>
        <v>25000</v>
      </c>
      <c r="T80" s="59">
        <v>50426774999.999992</v>
      </c>
      <c r="U80" s="59">
        <v>52948113749.999992</v>
      </c>
      <c r="V80" s="59">
        <v>55595519437.5</v>
      </c>
      <c r="W80" s="59">
        <v>58375295409.375</v>
      </c>
      <c r="X80" s="59">
        <v>61294060179.843742</v>
      </c>
      <c r="Y80" s="59">
        <v>64358763188.83593</v>
      </c>
      <c r="Z80" s="59">
        <v>67576701348.277725</v>
      </c>
      <c r="AA80" s="56">
        <v>70955536415.69162</v>
      </c>
    </row>
    <row r="81" spans="19:27" x14ac:dyDescent="0.25">
      <c r="S81" s="72">
        <f t="shared" si="6"/>
        <v>30000</v>
      </c>
      <c r="T81" s="59">
        <v>60512129999.999992</v>
      </c>
      <c r="U81" s="59">
        <v>63537736499.999992</v>
      </c>
      <c r="V81" s="59">
        <v>66714623324.999992</v>
      </c>
      <c r="W81" s="59">
        <v>70050354491.25</v>
      </c>
      <c r="X81" s="59">
        <v>73552872215.812485</v>
      </c>
      <c r="Y81" s="59">
        <v>77230515826.603119</v>
      </c>
      <c r="Z81" s="59">
        <v>81092041617.933273</v>
      </c>
      <c r="AA81" s="56">
        <v>85146643698.829956</v>
      </c>
    </row>
    <row r="82" spans="19:27" x14ac:dyDescent="0.25">
      <c r="S82" s="72">
        <f t="shared" si="6"/>
        <v>35000</v>
      </c>
      <c r="T82" s="59">
        <v>70597484999.999985</v>
      </c>
      <c r="U82" s="59">
        <v>74127359250</v>
      </c>
      <c r="V82" s="59">
        <v>77833727212.5</v>
      </c>
      <c r="W82" s="59">
        <v>81725413573.125</v>
      </c>
      <c r="X82" s="59">
        <v>85811684251.781235</v>
      </c>
      <c r="Y82" s="59">
        <v>90102268464.3703</v>
      </c>
      <c r="Z82" s="59">
        <v>94607381887.588821</v>
      </c>
      <c r="AA82" s="56">
        <v>99337750981.968277</v>
      </c>
    </row>
    <row r="83" spans="19:27" ht="15.75" thickBot="1" x14ac:dyDescent="0.3">
      <c r="S83" s="73">
        <f t="shared" si="6"/>
        <v>40000</v>
      </c>
      <c r="T83" s="60">
        <v>80682839999.999985</v>
      </c>
      <c r="U83" s="60">
        <v>84716982000</v>
      </c>
      <c r="V83" s="60">
        <v>88952831100</v>
      </c>
      <c r="W83" s="60">
        <v>93400472655</v>
      </c>
      <c r="X83" s="60">
        <v>98070496287.749985</v>
      </c>
      <c r="Y83" s="60">
        <v>102974021102.1375</v>
      </c>
      <c r="Z83" s="60">
        <v>108122722157.24437</v>
      </c>
      <c r="AA83" s="58">
        <v>113528858265.1066</v>
      </c>
    </row>
    <row r="100" spans="1:1" x14ac:dyDescent="0.25">
      <c r="A100" t="s">
        <v>90</v>
      </c>
    </row>
    <row r="101" spans="1:1" x14ac:dyDescent="0.25">
      <c r="A101" s="30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</sheetData>
  <scenarios current="0" sqref="T76:W79">
    <scenario name="Scenario 1" locked="1" count="25" user="Administrator" comment="Created by Administrator on 10/13/2023">
      <inputCells r="S75" val="2410682234940"/>
      <inputCells r="T75" val="2017071"/>
      <inputCells r="U75" val="2117924.55"/>
      <inputCells r="V75" val="2223820.7775"/>
      <inputCells r="W75" val="2335011.816375"/>
      <inputCells r="S76" val="5000" numFmtId="176"/>
      <inputCells r="T76" val=""/>
      <inputCells r="U76" val=""/>
      <inputCells r="V76" val=""/>
      <inputCells r="W76" val=""/>
      <inputCells r="S77" val="10000" numFmtId="176"/>
      <inputCells r="T77" val=""/>
      <inputCells r="U77" val=""/>
      <inputCells r="V77" val=""/>
      <inputCells r="W77" val=""/>
      <inputCells r="S78" val="15000" numFmtId="176"/>
      <inputCells r="T78" val=""/>
      <inputCells r="U78" val=""/>
      <inputCells r="V78" val=""/>
      <inputCells r="W78" val=""/>
      <inputCells r="S79" val="20000" numFmtId="176"/>
      <inputCells r="T79" val=""/>
      <inputCells r="U79" val=""/>
      <inputCells r="V79" val=""/>
      <inputCells r="W79" val=""/>
    </scenario>
  </scenario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CB58-5787-4CBB-9336-782949543BB3}">
  <sheetPr>
    <tabColor rgb="FF0070C0"/>
  </sheetPr>
  <dimension ref="B2:T70"/>
  <sheetViews>
    <sheetView tabSelected="1" workbookViewId="0">
      <selection activeCell="H15" sqref="H15"/>
    </sheetView>
  </sheetViews>
  <sheetFormatPr defaultRowHeight="15" x14ac:dyDescent="0.25"/>
  <cols>
    <col min="2" max="2" width="23.42578125" bestFit="1" customWidth="1"/>
    <col min="3" max="4" width="17.5703125" bestFit="1" customWidth="1"/>
    <col min="5" max="5" width="20" bestFit="1" customWidth="1"/>
    <col min="6" max="6" width="17" bestFit="1" customWidth="1"/>
    <col min="7" max="9" width="17.5703125" bestFit="1" customWidth="1"/>
    <col min="10" max="10" width="20" bestFit="1" customWidth="1"/>
    <col min="12" max="12" width="23.42578125" bestFit="1" customWidth="1"/>
    <col min="13" max="14" width="17.5703125" bestFit="1" customWidth="1"/>
    <col min="15" max="15" width="20" bestFit="1" customWidth="1"/>
    <col min="16" max="16" width="11" bestFit="1" customWidth="1"/>
    <col min="17" max="19" width="17.5703125" bestFit="1" customWidth="1"/>
    <col min="20" max="20" width="20" bestFit="1" customWidth="1"/>
  </cols>
  <sheetData>
    <row r="2" spans="2:20" ht="15.75" thickBot="1" x14ac:dyDescent="0.3"/>
    <row r="3" spans="2:20" ht="15.75" x14ac:dyDescent="0.25">
      <c r="B3" s="9" t="s">
        <v>135</v>
      </c>
      <c r="C3" s="88" t="s">
        <v>136</v>
      </c>
      <c r="D3" s="88" t="s">
        <v>69</v>
      </c>
      <c r="E3" s="88" t="s">
        <v>137</v>
      </c>
      <c r="F3" s="88" t="s">
        <v>138</v>
      </c>
      <c r="G3" s="88" t="s">
        <v>139</v>
      </c>
      <c r="H3" s="88" t="s">
        <v>140</v>
      </c>
      <c r="I3" s="88" t="s">
        <v>141</v>
      </c>
      <c r="J3" s="89" t="s">
        <v>142</v>
      </c>
      <c r="L3" t="s">
        <v>116</v>
      </c>
    </row>
    <row r="4" spans="2:20" ht="15.75" x14ac:dyDescent="0.25">
      <c r="B4" s="90" t="s">
        <v>143</v>
      </c>
      <c r="C4" s="76" t="s">
        <v>144</v>
      </c>
      <c r="D4" s="76"/>
      <c r="E4" s="76"/>
      <c r="F4" s="76"/>
      <c r="G4" s="76"/>
      <c r="H4" s="76"/>
      <c r="I4" s="76"/>
      <c r="J4" s="91"/>
      <c r="L4" s="76" t="s">
        <v>117</v>
      </c>
      <c r="M4" s="76"/>
      <c r="N4" s="76"/>
      <c r="O4" s="76"/>
      <c r="Q4" s="76" t="s">
        <v>118</v>
      </c>
      <c r="R4" s="76"/>
      <c r="S4" s="76"/>
      <c r="T4" s="76"/>
    </row>
    <row r="5" spans="2:20" ht="15.75" x14ac:dyDescent="0.25">
      <c r="B5" s="90" t="s">
        <v>145</v>
      </c>
      <c r="C5" s="84" t="s">
        <v>146</v>
      </c>
      <c r="D5" s="84" t="s">
        <v>147</v>
      </c>
      <c r="E5" s="84" t="s">
        <v>148</v>
      </c>
      <c r="F5" s="84" t="s">
        <v>149</v>
      </c>
      <c r="G5" s="84" t="s">
        <v>150</v>
      </c>
      <c r="H5" s="84" t="s">
        <v>151</v>
      </c>
      <c r="I5" s="84" t="s">
        <v>152</v>
      </c>
      <c r="J5" s="92" t="s">
        <v>153</v>
      </c>
      <c r="M5" s="77">
        <v>44774</v>
      </c>
      <c r="N5" s="77">
        <v>44805</v>
      </c>
      <c r="R5" s="77">
        <v>44774</v>
      </c>
      <c r="S5" s="77">
        <v>44805</v>
      </c>
    </row>
    <row r="6" spans="2:20" ht="15.75" x14ac:dyDescent="0.25">
      <c r="B6" s="90" t="s">
        <v>154</v>
      </c>
      <c r="C6" s="84" t="s">
        <v>155</v>
      </c>
      <c r="D6" s="84" t="s">
        <v>156</v>
      </c>
      <c r="E6" s="84" t="s">
        <v>157</v>
      </c>
      <c r="F6" s="84" t="s">
        <v>158</v>
      </c>
      <c r="G6" s="84" t="s">
        <v>159</v>
      </c>
      <c r="H6" s="84" t="s">
        <v>160</v>
      </c>
      <c r="I6" s="84" t="s">
        <v>161</v>
      </c>
      <c r="J6" s="92" t="s">
        <v>162</v>
      </c>
      <c r="L6" s="31" t="s">
        <v>119</v>
      </c>
      <c r="M6" s="78">
        <v>76109</v>
      </c>
      <c r="N6" s="78">
        <v>114556</v>
      </c>
      <c r="O6" t="s">
        <v>132</v>
      </c>
      <c r="Q6" s="31" t="s">
        <v>119</v>
      </c>
      <c r="R6" s="78">
        <v>418253</v>
      </c>
      <c r="S6" s="78">
        <v>442863</v>
      </c>
      <c r="T6" t="s">
        <v>132</v>
      </c>
    </row>
    <row r="7" spans="2:20" ht="15.75" x14ac:dyDescent="0.25">
      <c r="B7" s="90" t="s">
        <v>163</v>
      </c>
      <c r="C7" s="84" t="s">
        <v>164</v>
      </c>
      <c r="D7" s="84" t="s">
        <v>165</v>
      </c>
      <c r="E7" s="84" t="s">
        <v>166</v>
      </c>
      <c r="F7" s="84" t="s">
        <v>167</v>
      </c>
      <c r="G7" s="84" t="s">
        <v>168</v>
      </c>
      <c r="H7" s="84" t="s">
        <v>169</v>
      </c>
      <c r="I7" s="84" t="s">
        <v>170</v>
      </c>
      <c r="J7" s="92" t="s">
        <v>171</v>
      </c>
      <c r="L7" s="31" t="s">
        <v>50</v>
      </c>
      <c r="M7" s="78">
        <v>345840.81</v>
      </c>
      <c r="N7" s="78">
        <v>584033.76</v>
      </c>
      <c r="O7" t="s">
        <v>50</v>
      </c>
      <c r="Q7" s="31" t="s">
        <v>50</v>
      </c>
      <c r="R7" s="78">
        <v>452300.64</v>
      </c>
      <c r="S7" s="78">
        <v>467046.49</v>
      </c>
      <c r="T7" t="s">
        <v>50</v>
      </c>
    </row>
    <row r="8" spans="2:20" ht="15.75" x14ac:dyDescent="0.25">
      <c r="B8" s="90" t="s">
        <v>172</v>
      </c>
      <c r="C8" s="84" t="s">
        <v>173</v>
      </c>
      <c r="D8" s="84" t="s">
        <v>174</v>
      </c>
      <c r="E8" s="84" t="s">
        <v>175</v>
      </c>
      <c r="F8" s="84" t="s">
        <v>176</v>
      </c>
      <c r="G8" s="84" t="s">
        <v>177</v>
      </c>
      <c r="H8" s="84" t="s">
        <v>178</v>
      </c>
      <c r="I8" s="84" t="s">
        <v>179</v>
      </c>
      <c r="J8" s="92" t="s">
        <v>180</v>
      </c>
      <c r="L8" s="32" t="s">
        <v>120</v>
      </c>
      <c r="M8" s="79">
        <f>M7/M6</f>
        <v>4.5440198925225666</v>
      </c>
      <c r="N8" s="79">
        <f>N7/N6</f>
        <v>5.0982380669716125</v>
      </c>
      <c r="O8" t="s">
        <v>133</v>
      </c>
      <c r="Q8" s="32" t="s">
        <v>120</v>
      </c>
      <c r="R8" s="79">
        <f>R7/R6</f>
        <v>1.0814044131183758</v>
      </c>
      <c r="S8" s="79">
        <f>S7/S6</f>
        <v>1.0546071584214531</v>
      </c>
      <c r="T8" t="s">
        <v>133</v>
      </c>
    </row>
    <row r="9" spans="2:20" ht="15.75" x14ac:dyDescent="0.25">
      <c r="B9" s="90" t="s">
        <v>31</v>
      </c>
      <c r="C9" s="84" t="s">
        <v>181</v>
      </c>
      <c r="D9" s="84" t="s">
        <v>182</v>
      </c>
      <c r="E9" s="84" t="s">
        <v>183</v>
      </c>
      <c r="F9" s="84" t="s">
        <v>184</v>
      </c>
      <c r="G9" s="84" t="s">
        <v>185</v>
      </c>
      <c r="H9" s="84" t="s">
        <v>186</v>
      </c>
      <c r="I9" s="84" t="s">
        <v>187</v>
      </c>
      <c r="J9" s="92" t="s">
        <v>188</v>
      </c>
      <c r="L9" s="31"/>
      <c r="Q9" s="31"/>
    </row>
    <row r="10" spans="2:20" ht="15.75" x14ac:dyDescent="0.25">
      <c r="B10" s="90" t="s">
        <v>189</v>
      </c>
      <c r="C10" s="84" t="s">
        <v>190</v>
      </c>
      <c r="D10" s="84" t="s">
        <v>191</v>
      </c>
      <c r="E10" s="84" t="s">
        <v>192</v>
      </c>
      <c r="F10" s="84" t="s">
        <v>193</v>
      </c>
      <c r="G10" s="84" t="s">
        <v>194</v>
      </c>
      <c r="H10" s="84" t="s">
        <v>195</v>
      </c>
      <c r="I10" s="84" t="s">
        <v>196</v>
      </c>
      <c r="J10" s="92" t="s">
        <v>197</v>
      </c>
      <c r="L10" s="31" t="s">
        <v>52</v>
      </c>
      <c r="M10" s="78">
        <f>7.46*10000</f>
        <v>74600</v>
      </c>
      <c r="N10" s="78">
        <f>6.64*10000</f>
        <v>66400</v>
      </c>
      <c r="O10" t="s">
        <v>52</v>
      </c>
      <c r="Q10" s="31" t="s">
        <v>52</v>
      </c>
      <c r="R10" s="78">
        <f>9.69*10000</f>
        <v>96900</v>
      </c>
      <c r="S10" s="78">
        <f>9.32*10000</f>
        <v>93200</v>
      </c>
      <c r="T10" t="s">
        <v>52</v>
      </c>
    </row>
    <row r="11" spans="2:20" ht="15.75" x14ac:dyDescent="0.25">
      <c r="B11" s="90" t="s">
        <v>198</v>
      </c>
      <c r="C11" s="84" t="s">
        <v>199</v>
      </c>
      <c r="D11" s="84" t="s">
        <v>200</v>
      </c>
      <c r="E11" s="84" t="s">
        <v>201</v>
      </c>
      <c r="F11" s="84" t="s">
        <v>202</v>
      </c>
      <c r="G11" s="84" t="s">
        <v>203</v>
      </c>
      <c r="H11" s="84" t="s">
        <v>204</v>
      </c>
      <c r="I11" s="84" t="s">
        <v>205</v>
      </c>
      <c r="J11" s="92" t="s">
        <v>206</v>
      </c>
      <c r="L11" s="32" t="s">
        <v>73</v>
      </c>
      <c r="M11" s="80">
        <f>M7-M10</f>
        <v>271240.81</v>
      </c>
      <c r="N11" s="80">
        <f>N7-N10</f>
        <v>517633.76</v>
      </c>
      <c r="O11" t="s">
        <v>99</v>
      </c>
      <c r="Q11" s="32" t="s">
        <v>73</v>
      </c>
      <c r="R11" s="80">
        <f>R7-R10</f>
        <v>355400.64</v>
      </c>
      <c r="S11" s="80">
        <f>S7-S10</f>
        <v>373846.49</v>
      </c>
      <c r="T11" t="s">
        <v>99</v>
      </c>
    </row>
    <row r="12" spans="2:20" ht="15.75" x14ac:dyDescent="0.25">
      <c r="B12" s="90" t="s">
        <v>34</v>
      </c>
      <c r="C12" s="84" t="s">
        <v>207</v>
      </c>
      <c r="D12" s="84" t="s">
        <v>208</v>
      </c>
      <c r="E12" s="84" t="s">
        <v>209</v>
      </c>
      <c r="F12" s="84" t="s">
        <v>210</v>
      </c>
      <c r="G12" s="84" t="s">
        <v>211</v>
      </c>
      <c r="H12" s="84" t="s">
        <v>212</v>
      </c>
      <c r="I12" s="84" t="s">
        <v>213</v>
      </c>
      <c r="J12" s="92" t="s">
        <v>214</v>
      </c>
    </row>
    <row r="13" spans="2:20" ht="15.75" x14ac:dyDescent="0.25">
      <c r="B13" s="90" t="s">
        <v>215</v>
      </c>
      <c r="C13" s="84" t="s">
        <v>216</v>
      </c>
      <c r="D13" s="84" t="s">
        <v>217</v>
      </c>
      <c r="E13" s="84" t="s">
        <v>218</v>
      </c>
      <c r="F13" s="84" t="s">
        <v>219</v>
      </c>
      <c r="G13" s="84" t="s">
        <v>220</v>
      </c>
      <c r="H13" s="84" t="s">
        <v>221</v>
      </c>
      <c r="I13" s="84" t="s">
        <v>222</v>
      </c>
      <c r="J13" s="92" t="s">
        <v>223</v>
      </c>
    </row>
    <row r="14" spans="2:20" ht="15.75" x14ac:dyDescent="0.25">
      <c r="B14" s="90" t="s">
        <v>224</v>
      </c>
      <c r="C14" s="84" t="s">
        <v>225</v>
      </c>
      <c r="D14" s="84" t="s">
        <v>176</v>
      </c>
      <c r="E14" s="84" t="s">
        <v>226</v>
      </c>
      <c r="F14" s="84" t="s">
        <v>227</v>
      </c>
      <c r="G14" s="84" t="s">
        <v>228</v>
      </c>
      <c r="H14" s="84" t="s">
        <v>229</v>
      </c>
      <c r="I14" s="84" t="s">
        <v>230</v>
      </c>
      <c r="J14" s="92" t="s">
        <v>231</v>
      </c>
      <c r="L14" s="81" t="s">
        <v>121</v>
      </c>
      <c r="M14" s="81"/>
      <c r="N14" s="81"/>
      <c r="O14" s="81"/>
    </row>
    <row r="15" spans="2:20" ht="15.75" x14ac:dyDescent="0.25">
      <c r="B15" s="90" t="s">
        <v>232</v>
      </c>
      <c r="C15" s="84" t="s">
        <v>233</v>
      </c>
      <c r="D15" s="84" t="s">
        <v>234</v>
      </c>
      <c r="E15" s="84" t="s">
        <v>235</v>
      </c>
      <c r="F15" s="84" t="s">
        <v>236</v>
      </c>
      <c r="G15" s="84" t="s">
        <v>237</v>
      </c>
      <c r="H15" s="84" t="s">
        <v>238</v>
      </c>
      <c r="I15" s="84" t="s">
        <v>239</v>
      </c>
      <c r="J15" s="92" t="s">
        <v>240</v>
      </c>
      <c r="M15" s="82" t="s">
        <v>122</v>
      </c>
      <c r="N15" s="82" t="s">
        <v>123</v>
      </c>
      <c r="O15" s="82" t="s">
        <v>124</v>
      </c>
    </row>
    <row r="16" spans="2:20" ht="16.5" thickBot="1" x14ac:dyDescent="0.3">
      <c r="B16" s="93" t="s">
        <v>241</v>
      </c>
      <c r="C16" s="94" t="s">
        <v>242</v>
      </c>
      <c r="D16" s="94" t="s">
        <v>243</v>
      </c>
      <c r="E16" s="94" t="s">
        <v>244</v>
      </c>
      <c r="F16" s="94" t="s">
        <v>245</v>
      </c>
      <c r="G16" s="94" t="s">
        <v>246</v>
      </c>
      <c r="H16" s="94" t="s">
        <v>247</v>
      </c>
      <c r="I16" s="94" t="s">
        <v>248</v>
      </c>
      <c r="J16" s="95" t="s">
        <v>249</v>
      </c>
      <c r="L16" t="s">
        <v>125</v>
      </c>
      <c r="M16" s="23">
        <v>100000</v>
      </c>
      <c r="N16" s="23">
        <v>80000</v>
      </c>
      <c r="O16" s="83">
        <v>300000</v>
      </c>
      <c r="P16" t="s">
        <v>126</v>
      </c>
    </row>
    <row r="17" spans="2:16" ht="15.75" x14ac:dyDescent="0.25">
      <c r="L17" t="s">
        <v>127</v>
      </c>
      <c r="M17" s="23">
        <v>50000</v>
      </c>
      <c r="N17" s="23">
        <v>50000</v>
      </c>
      <c r="O17" s="83">
        <v>150000</v>
      </c>
      <c r="P17" t="s">
        <v>126</v>
      </c>
    </row>
    <row r="18" spans="2:16" ht="15.75" x14ac:dyDescent="0.25">
      <c r="L18" t="s">
        <v>128</v>
      </c>
      <c r="M18" s="83">
        <v>200000</v>
      </c>
      <c r="N18" s="83">
        <v>350000</v>
      </c>
      <c r="O18" s="23"/>
    </row>
    <row r="19" spans="2:16" ht="15.75" thickBot="1" x14ac:dyDescent="0.3"/>
    <row r="20" spans="2:16" ht="15.75" x14ac:dyDescent="0.25">
      <c r="B20" s="96" t="s">
        <v>135</v>
      </c>
      <c r="C20" s="97" t="s">
        <v>250</v>
      </c>
      <c r="D20" s="97" t="s">
        <v>69</v>
      </c>
      <c r="E20" s="97" t="s">
        <v>139</v>
      </c>
      <c r="F20" s="97" t="s">
        <v>138</v>
      </c>
      <c r="G20" s="97" t="s">
        <v>251</v>
      </c>
      <c r="H20" s="97" t="s">
        <v>252</v>
      </c>
      <c r="I20" s="97" t="s">
        <v>253</v>
      </c>
      <c r="J20" s="98" t="s">
        <v>142</v>
      </c>
    </row>
    <row r="21" spans="2:16" ht="15.75" x14ac:dyDescent="0.25">
      <c r="B21" s="90" t="s">
        <v>143</v>
      </c>
      <c r="C21" s="81" t="s">
        <v>144</v>
      </c>
      <c r="D21" s="81"/>
      <c r="E21" s="81"/>
      <c r="F21" s="81"/>
      <c r="G21" s="81"/>
      <c r="H21" s="81"/>
      <c r="I21" s="81"/>
      <c r="J21" s="99"/>
      <c r="M21" s="84"/>
      <c r="N21" s="84"/>
      <c r="O21" s="84"/>
      <c r="P21" s="84"/>
    </row>
    <row r="22" spans="2:16" ht="15.75" x14ac:dyDescent="0.25">
      <c r="B22" s="90" t="s">
        <v>145</v>
      </c>
      <c r="C22" s="84" t="s">
        <v>254</v>
      </c>
      <c r="D22" s="84" t="s">
        <v>255</v>
      </c>
      <c r="E22" s="100" t="s">
        <v>150</v>
      </c>
      <c r="F22" s="84" t="s">
        <v>256</v>
      </c>
      <c r="G22" s="84" t="s">
        <v>257</v>
      </c>
      <c r="H22" s="84" t="s">
        <v>258</v>
      </c>
      <c r="I22" s="84" t="s">
        <v>259</v>
      </c>
      <c r="J22" s="92" t="s">
        <v>260</v>
      </c>
      <c r="M22" s="84" t="s">
        <v>122</v>
      </c>
      <c r="N22" s="84" t="s">
        <v>123</v>
      </c>
      <c r="O22" s="82" t="s">
        <v>129</v>
      </c>
      <c r="P22" s="82" t="s">
        <v>124</v>
      </c>
    </row>
    <row r="23" spans="2:16" ht="15.75" x14ac:dyDescent="0.25">
      <c r="B23" s="90" t="s">
        <v>154</v>
      </c>
      <c r="C23" s="84" t="s">
        <v>261</v>
      </c>
      <c r="D23" s="84" t="s">
        <v>262</v>
      </c>
      <c r="E23" s="84" t="s">
        <v>159</v>
      </c>
      <c r="F23" s="84" t="s">
        <v>263</v>
      </c>
      <c r="G23" s="84" t="s">
        <v>264</v>
      </c>
      <c r="H23" s="84" t="s">
        <v>265</v>
      </c>
      <c r="I23" s="84" t="s">
        <v>266</v>
      </c>
      <c r="J23" s="92" t="s">
        <v>267</v>
      </c>
      <c r="L23" t="s">
        <v>125</v>
      </c>
      <c r="M23" s="23">
        <v>200000</v>
      </c>
      <c r="N23" s="23">
        <v>100000</v>
      </c>
      <c r="O23" s="85">
        <f>SUM(M23:N23)</f>
        <v>300000</v>
      </c>
      <c r="P23" s="83">
        <v>300000</v>
      </c>
    </row>
    <row r="24" spans="2:16" ht="15.75" x14ac:dyDescent="0.25">
      <c r="B24" s="90" t="s">
        <v>163</v>
      </c>
      <c r="C24" s="84" t="s">
        <v>268</v>
      </c>
      <c r="D24" s="84" t="s">
        <v>269</v>
      </c>
      <c r="E24" s="84" t="s">
        <v>168</v>
      </c>
      <c r="F24" s="84" t="s">
        <v>270</v>
      </c>
      <c r="G24" s="84" t="s">
        <v>271</v>
      </c>
      <c r="H24" s="84" t="s">
        <v>169</v>
      </c>
      <c r="I24" s="84" t="s">
        <v>170</v>
      </c>
      <c r="J24" s="92" t="s">
        <v>171</v>
      </c>
      <c r="L24" t="s">
        <v>127</v>
      </c>
      <c r="M24" s="23">
        <v>0</v>
      </c>
      <c r="N24" s="23">
        <v>150000</v>
      </c>
      <c r="O24" s="85">
        <f>SUM(M24:N24)</f>
        <v>150000</v>
      </c>
      <c r="P24" s="83">
        <v>150000</v>
      </c>
    </row>
    <row r="25" spans="2:16" ht="15.75" x14ac:dyDescent="0.25">
      <c r="B25" s="90" t="s">
        <v>172</v>
      </c>
      <c r="C25" s="84" t="s">
        <v>272</v>
      </c>
      <c r="D25" s="84" t="s">
        <v>273</v>
      </c>
      <c r="E25" s="84" t="s">
        <v>177</v>
      </c>
      <c r="F25" s="84" t="s">
        <v>274</v>
      </c>
      <c r="G25" s="84" t="s">
        <v>275</v>
      </c>
      <c r="H25" s="84" t="s">
        <v>276</v>
      </c>
      <c r="I25" s="84" t="s">
        <v>277</v>
      </c>
      <c r="J25" s="92" t="s">
        <v>278</v>
      </c>
      <c r="L25" s="17" t="s">
        <v>130</v>
      </c>
      <c r="M25" s="85">
        <f>SUM(M23:M24)</f>
        <v>200000</v>
      </c>
      <c r="N25" s="85">
        <f>SUM(N23:N24)</f>
        <v>250000</v>
      </c>
      <c r="O25" s="23"/>
      <c r="P25" s="23"/>
    </row>
    <row r="26" spans="2:16" ht="15.75" x14ac:dyDescent="0.25">
      <c r="B26" s="90" t="s">
        <v>31</v>
      </c>
      <c r="C26" s="84" t="s">
        <v>279</v>
      </c>
      <c r="D26" s="84" t="s">
        <v>280</v>
      </c>
      <c r="E26" s="84" t="s">
        <v>185</v>
      </c>
      <c r="F26" s="84" t="s">
        <v>281</v>
      </c>
      <c r="G26" s="84" t="s">
        <v>282</v>
      </c>
      <c r="H26" s="84" t="s">
        <v>283</v>
      </c>
      <c r="I26" s="84" t="s">
        <v>284</v>
      </c>
      <c r="J26" s="92" t="s">
        <v>285</v>
      </c>
      <c r="M26" s="83">
        <v>200000</v>
      </c>
      <c r="N26" s="83">
        <v>350000</v>
      </c>
      <c r="O26" s="23"/>
      <c r="P26" s="23"/>
    </row>
    <row r="27" spans="2:16" ht="15.75" x14ac:dyDescent="0.25">
      <c r="B27" s="90" t="s">
        <v>189</v>
      </c>
      <c r="C27" s="84" t="s">
        <v>286</v>
      </c>
      <c r="D27" s="84" t="s">
        <v>287</v>
      </c>
      <c r="E27" s="84" t="s">
        <v>194</v>
      </c>
      <c r="F27" s="84" t="s">
        <v>288</v>
      </c>
      <c r="G27" s="84" t="s">
        <v>289</v>
      </c>
      <c r="H27" s="84" t="s">
        <v>290</v>
      </c>
      <c r="I27" s="84" t="s">
        <v>291</v>
      </c>
      <c r="J27" s="92" t="s">
        <v>292</v>
      </c>
      <c r="L27" s="86" t="s">
        <v>131</v>
      </c>
      <c r="M27" s="87">
        <f>SUMPRODUCT(M23:N24,M16:N17)</f>
        <v>35500000000</v>
      </c>
      <c r="N27" s="23"/>
      <c r="O27" s="23"/>
      <c r="P27" s="23"/>
    </row>
    <row r="28" spans="2:16" ht="15.75" x14ac:dyDescent="0.25">
      <c r="B28" s="90" t="s">
        <v>198</v>
      </c>
      <c r="C28" s="84" t="s">
        <v>293</v>
      </c>
      <c r="D28" s="84" t="s">
        <v>294</v>
      </c>
      <c r="E28" s="84" t="s">
        <v>203</v>
      </c>
      <c r="F28" s="84" t="s">
        <v>295</v>
      </c>
      <c r="G28" s="84" t="s">
        <v>296</v>
      </c>
      <c r="H28" s="84" t="s">
        <v>297</v>
      </c>
      <c r="I28" s="84" t="s">
        <v>298</v>
      </c>
      <c r="J28" s="92" t="s">
        <v>299</v>
      </c>
    </row>
    <row r="29" spans="2:16" ht="15.75" x14ac:dyDescent="0.25">
      <c r="B29" s="90" t="s">
        <v>34</v>
      </c>
      <c r="C29" s="84" t="s">
        <v>300</v>
      </c>
      <c r="D29" s="84" t="s">
        <v>301</v>
      </c>
      <c r="E29" s="84" t="s">
        <v>211</v>
      </c>
      <c r="F29" s="84" t="s">
        <v>302</v>
      </c>
      <c r="G29" s="84" t="s">
        <v>303</v>
      </c>
      <c r="H29" s="84" t="s">
        <v>304</v>
      </c>
      <c r="I29" s="84" t="s">
        <v>305</v>
      </c>
      <c r="J29" s="92" t="s">
        <v>306</v>
      </c>
    </row>
    <row r="30" spans="2:16" ht="15.75" x14ac:dyDescent="0.25">
      <c r="B30" s="90" t="s">
        <v>215</v>
      </c>
      <c r="C30" s="84" t="s">
        <v>307</v>
      </c>
      <c r="D30" s="84" t="s">
        <v>308</v>
      </c>
      <c r="E30" s="84" t="s">
        <v>220</v>
      </c>
      <c r="F30" s="84" t="s">
        <v>309</v>
      </c>
      <c r="G30" s="84" t="s">
        <v>310</v>
      </c>
      <c r="H30" s="84" t="s">
        <v>237</v>
      </c>
      <c r="I30" s="84" t="s">
        <v>311</v>
      </c>
      <c r="J30" s="92" t="s">
        <v>312</v>
      </c>
    </row>
    <row r="31" spans="2:16" ht="15.75" x14ac:dyDescent="0.25">
      <c r="B31" s="90" t="s">
        <v>224</v>
      </c>
      <c r="C31" s="84" t="s">
        <v>313</v>
      </c>
      <c r="D31" s="84" t="s">
        <v>314</v>
      </c>
      <c r="E31" s="84" t="s">
        <v>228</v>
      </c>
      <c r="F31" s="84" t="s">
        <v>315</v>
      </c>
      <c r="G31" s="84" t="s">
        <v>316</v>
      </c>
      <c r="H31" s="84" t="s">
        <v>317</v>
      </c>
      <c r="I31" s="84" t="s">
        <v>318</v>
      </c>
      <c r="J31" s="92" t="s">
        <v>319</v>
      </c>
    </row>
    <row r="32" spans="2:16" ht="15.75" x14ac:dyDescent="0.25">
      <c r="B32" s="90" t="s">
        <v>232</v>
      </c>
      <c r="C32" s="84" t="s">
        <v>320</v>
      </c>
      <c r="D32" s="84" t="s">
        <v>321</v>
      </c>
      <c r="E32" s="100" t="s">
        <v>237</v>
      </c>
      <c r="F32" s="84" t="s">
        <v>322</v>
      </c>
      <c r="G32" s="84" t="s">
        <v>323</v>
      </c>
      <c r="H32" s="84" t="s">
        <v>324</v>
      </c>
      <c r="I32" s="84" t="s">
        <v>325</v>
      </c>
      <c r="J32" s="92" t="s">
        <v>326</v>
      </c>
    </row>
    <row r="33" spans="2:10" ht="16.5" thickBot="1" x14ac:dyDescent="0.3">
      <c r="B33" s="93" t="s">
        <v>241</v>
      </c>
      <c r="C33" s="94" t="s">
        <v>327</v>
      </c>
      <c r="D33" s="94" t="s">
        <v>328</v>
      </c>
      <c r="E33" s="94" t="s">
        <v>246</v>
      </c>
      <c r="F33" s="94" t="s">
        <v>329</v>
      </c>
      <c r="G33" s="94" t="s">
        <v>330</v>
      </c>
      <c r="H33" s="94" t="s">
        <v>331</v>
      </c>
      <c r="I33" s="94" t="s">
        <v>244</v>
      </c>
      <c r="J33" s="95" t="s">
        <v>332</v>
      </c>
    </row>
    <row r="37" spans="2:10" x14ac:dyDescent="0.25">
      <c r="B37" s="1" t="s">
        <v>352</v>
      </c>
    </row>
    <row r="70" spans="2:2" x14ac:dyDescent="0.25">
      <c r="B70" s="1" t="s">
        <v>353</v>
      </c>
    </row>
  </sheetData>
  <mergeCells count="5">
    <mergeCell ref="C21:J21"/>
    <mergeCell ref="L14:O14"/>
    <mergeCell ref="L4:O4"/>
    <mergeCell ref="Q4:T4"/>
    <mergeCell ref="C4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27BE-CCF0-4A25-A8D0-932592ED7924}">
  <dimension ref="A1:G9"/>
  <sheetViews>
    <sheetView showGridLines="0" workbookViewId="0"/>
  </sheetViews>
  <sheetFormatPr defaultRowHeight="15" x14ac:dyDescent="0.25"/>
  <cols>
    <col min="1" max="1" width="2.28515625" customWidth="1"/>
    <col min="2" max="2" width="6.42578125" bestFit="1" customWidth="1"/>
    <col min="3" max="3" width="39.140625" bestFit="1" customWidth="1"/>
    <col min="4" max="4" width="10" bestFit="1" customWidth="1"/>
    <col min="5" max="5" width="13.7109375" bestFit="1" customWidth="1"/>
    <col min="6" max="6" width="7.7109375" bestFit="1" customWidth="1"/>
    <col min="7" max="7" width="5.42578125" bestFit="1" customWidth="1"/>
  </cols>
  <sheetData>
    <row r="1" spans="1:7" x14ac:dyDescent="0.25">
      <c r="A1" s="1" t="s">
        <v>333</v>
      </c>
    </row>
    <row r="2" spans="1:7" x14ac:dyDescent="0.25">
      <c r="A2" s="1" t="s">
        <v>334</v>
      </c>
    </row>
    <row r="3" spans="1:7" x14ac:dyDescent="0.25">
      <c r="A3" s="1" t="s">
        <v>335</v>
      </c>
    </row>
    <row r="6" spans="1:7" ht="15.75" thickBot="1" x14ac:dyDescent="0.3">
      <c r="A6" t="s">
        <v>336</v>
      </c>
    </row>
    <row r="7" spans="1:7" ht="15.75" thickBot="1" x14ac:dyDescent="0.3">
      <c r="B7" s="101" t="s">
        <v>337</v>
      </c>
      <c r="C7" s="101" t="s">
        <v>338</v>
      </c>
      <c r="D7" s="101" t="s">
        <v>339</v>
      </c>
      <c r="E7" s="101" t="s">
        <v>340</v>
      </c>
      <c r="F7" s="101" t="s">
        <v>341</v>
      </c>
      <c r="G7" s="101" t="s">
        <v>342</v>
      </c>
    </row>
    <row r="8" spans="1:7" x14ac:dyDescent="0.25">
      <c r="B8" t="s">
        <v>343</v>
      </c>
      <c r="C8" t="s">
        <v>344</v>
      </c>
      <c r="D8" s="23">
        <v>300000</v>
      </c>
      <c r="E8" t="s">
        <v>345</v>
      </c>
      <c r="F8" t="s">
        <v>346</v>
      </c>
      <c r="G8">
        <v>0</v>
      </c>
    </row>
    <row r="9" spans="1:7" x14ac:dyDescent="0.25">
      <c r="B9" t="s">
        <v>347</v>
      </c>
      <c r="C9" t="s">
        <v>348</v>
      </c>
      <c r="D9" s="23">
        <v>150000</v>
      </c>
      <c r="E9" t="s">
        <v>349</v>
      </c>
      <c r="F9" t="s">
        <v>346</v>
      </c>
      <c r="G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4E89-B315-43EF-9E85-C229EBEC0B28}">
  <dimension ref="A1:G9"/>
  <sheetViews>
    <sheetView showGridLines="0" workbookViewId="0"/>
  </sheetViews>
  <sheetFormatPr defaultRowHeight="15" x14ac:dyDescent="0.25"/>
  <cols>
    <col min="1" max="1" width="2.28515625" customWidth="1"/>
    <col min="2" max="2" width="6.42578125" bestFit="1" customWidth="1"/>
    <col min="3" max="3" width="39.140625" bestFit="1" customWidth="1"/>
    <col min="4" max="4" width="10" bestFit="1" customWidth="1"/>
    <col min="5" max="5" width="13.7109375" bestFit="1" customWidth="1"/>
    <col min="6" max="6" width="7.7109375" bestFit="1" customWidth="1"/>
    <col min="7" max="7" width="5.42578125" bestFit="1" customWidth="1"/>
  </cols>
  <sheetData>
    <row r="1" spans="1:7" x14ac:dyDescent="0.25">
      <c r="A1" s="1" t="s">
        <v>333</v>
      </c>
    </row>
    <row r="2" spans="1:7" x14ac:dyDescent="0.25">
      <c r="A2" s="1" t="s">
        <v>334</v>
      </c>
    </row>
    <row r="3" spans="1:7" x14ac:dyDescent="0.25">
      <c r="A3" s="1" t="s">
        <v>350</v>
      </c>
    </row>
    <row r="6" spans="1:7" ht="15.75" thickBot="1" x14ac:dyDescent="0.3">
      <c r="A6" t="s">
        <v>351</v>
      </c>
    </row>
    <row r="7" spans="1:7" ht="15.75" thickBot="1" x14ac:dyDescent="0.3">
      <c r="B7" s="101" t="s">
        <v>337</v>
      </c>
      <c r="C7" s="101" t="s">
        <v>338</v>
      </c>
      <c r="D7" s="101" t="s">
        <v>339</v>
      </c>
      <c r="E7" s="101" t="s">
        <v>340</v>
      </c>
      <c r="F7" s="101" t="s">
        <v>341</v>
      </c>
      <c r="G7" s="101" t="s">
        <v>342</v>
      </c>
    </row>
    <row r="8" spans="1:7" x14ac:dyDescent="0.25">
      <c r="B8" t="s">
        <v>343</v>
      </c>
      <c r="C8" t="s">
        <v>344</v>
      </c>
      <c r="D8" s="23">
        <v>300000</v>
      </c>
      <c r="E8" t="s">
        <v>345</v>
      </c>
      <c r="F8" t="s">
        <v>346</v>
      </c>
      <c r="G8">
        <v>0</v>
      </c>
    </row>
    <row r="9" spans="1:7" x14ac:dyDescent="0.25">
      <c r="B9" t="s">
        <v>347</v>
      </c>
      <c r="C9" t="s">
        <v>348</v>
      </c>
      <c r="D9" s="23">
        <v>150000</v>
      </c>
      <c r="E9" t="s">
        <v>349</v>
      </c>
      <c r="F9" t="s">
        <v>346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Solution DA</vt:lpstr>
      <vt:lpstr>Linear Programming</vt:lpstr>
      <vt:lpstr>Feasibility Report 1</vt:lpstr>
      <vt:lpstr>Feasibility Report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Yohana Sri Rejeki</dc:creator>
  <cp:lastModifiedBy>Yohana Sri Rejeki</cp:lastModifiedBy>
  <dcterms:created xsi:type="dcterms:W3CDTF">2023-10-11T04:10:32Z</dcterms:created>
  <dcterms:modified xsi:type="dcterms:W3CDTF">2023-10-13T10:32:19Z</dcterms:modified>
</cp:coreProperties>
</file>